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 projects Projects\"/>
    </mc:Choice>
  </mc:AlternateContent>
  <xr:revisionPtr revIDLastSave="0" documentId="8_{11503004-AE75-4491-BEBA-CEB2F94365B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ivot Table" sheetId="3" r:id="rId1"/>
    <sheet name="Default_sheet" sheetId="2" r:id="rId2"/>
    <sheet name="Default Table Sheet" sheetId="1" r:id="rId3"/>
  </sheets>
  <definedNames>
    <definedName name="_xlnm._FilterDatabase" localSheetId="2" hidden="1">'Default Table Sheet'!$A$1:$M$501</definedName>
    <definedName name="ExternalData_1" localSheetId="1" hidden="1">Default_sheet!$A$1:$H$501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48E73-A803-4DFB-A01A-6F4C8EC23052}" keepAlive="1" name="Query - Default_sheet" description="Connection to the 'Default_sheet' query in the workbook." type="5" refreshedVersion="8" background="1" saveData="1">
    <dbPr connection="Provider=Microsoft.Mashup.OleDb.1;Data Source=$Workbook$;Location=Default_sheet;Extended Properties=&quot;&quot;" command="SELECT * FROM [Default_sheet]"/>
  </connection>
</connections>
</file>

<file path=xl/sharedStrings.xml><?xml version="1.0" encoding="utf-8"?>
<sst xmlns="http://schemas.openxmlformats.org/spreadsheetml/2006/main" count="6045" uniqueCount="597">
  <si>
    <t>CustomerID</t>
  </si>
  <si>
    <t>Name</t>
  </si>
  <si>
    <t>Region</t>
  </si>
  <si>
    <t>ProductID</t>
  </si>
  <si>
    <t>ProductName</t>
  </si>
  <si>
    <t>Category</t>
  </si>
  <si>
    <t>Quantity</t>
  </si>
  <si>
    <t>UnitPrice</t>
  </si>
  <si>
    <t>Discount %</t>
  </si>
  <si>
    <t>PurchaseDate</t>
  </si>
  <si>
    <t>SalesRep</t>
  </si>
  <si>
    <t>PaymentMethod</t>
  </si>
  <si>
    <t>Returned</t>
  </si>
  <si>
    <t>Jeanette Dalton</t>
  </si>
  <si>
    <t>Michael Pittman</t>
  </si>
  <si>
    <t>Kimberly Myers</t>
  </si>
  <si>
    <t>Dr. Toni Peters</t>
  </si>
  <si>
    <t>Brad Williams</t>
  </si>
  <si>
    <t>Dr. Joseph Anderson</t>
  </si>
  <si>
    <t>Daniel Henry</t>
  </si>
  <si>
    <t>Michael Allen</t>
  </si>
  <si>
    <t>Penny Johnson</t>
  </si>
  <si>
    <t>Christy Powers</t>
  </si>
  <si>
    <t>Austin Johnston</t>
  </si>
  <si>
    <t>Ms. Elizabeth Evans MD</t>
  </si>
  <si>
    <t>Ryan Goodwin</t>
  </si>
  <si>
    <t>Wayne Espinoza</t>
  </si>
  <si>
    <t>Steven Smith</t>
  </si>
  <si>
    <t>Kristin Snyder</t>
  </si>
  <si>
    <t>Crystal Smith</t>
  </si>
  <si>
    <t>Anthony Hernandez</t>
  </si>
  <si>
    <t>Janet Meyers</t>
  </si>
  <si>
    <t>Michael Campbell</t>
  </si>
  <si>
    <t>Christian Lee</t>
  </si>
  <si>
    <t>Michael Johnson</t>
  </si>
  <si>
    <t>Carla Norris</t>
  </si>
  <si>
    <t>Lauren Jackson</t>
  </si>
  <si>
    <t>Jacqueline Jackson</t>
  </si>
  <si>
    <t>Donna Turner</t>
  </si>
  <si>
    <t>Ryan Jones</t>
  </si>
  <si>
    <t>Cole Miller</t>
  </si>
  <si>
    <t>Alice Landry</t>
  </si>
  <si>
    <t>Amy Rivera</t>
  </si>
  <si>
    <t>John Atkinson</t>
  </si>
  <si>
    <t>Margaret Vaughn</t>
  </si>
  <si>
    <t>Danielle Huerta</t>
  </si>
  <si>
    <t>Tanner Schmidt</t>
  </si>
  <si>
    <t>Jessica Fletcher</t>
  </si>
  <si>
    <t>Mary Paul</t>
  </si>
  <si>
    <t>Adrian Martinez</t>
  </si>
  <si>
    <t>Rodney Gray</t>
  </si>
  <si>
    <t>Angela Dodson</t>
  </si>
  <si>
    <t>Michael Lawrence</t>
  </si>
  <si>
    <t>Nicholas King</t>
  </si>
  <si>
    <t>Scott Li</t>
  </si>
  <si>
    <t>Erin Mcclure</t>
  </si>
  <si>
    <t>Spencer Hansen</t>
  </si>
  <si>
    <t>Cindy Green</t>
  </si>
  <si>
    <t>Stephen Lopez</t>
  </si>
  <si>
    <t>Deborah Wilson</t>
  </si>
  <si>
    <t>Chelsea Anderson</t>
  </si>
  <si>
    <t>Nancy Peterson</t>
  </si>
  <si>
    <t>Jessica Harris</t>
  </si>
  <si>
    <t>Kristina Hood</t>
  </si>
  <si>
    <t>Eric Arellano</t>
  </si>
  <si>
    <t>Henry Andrews</t>
  </si>
  <si>
    <t>Kyle Hall</t>
  </si>
  <si>
    <t>Lisa Sweeney</t>
  </si>
  <si>
    <t>Austin Evans</t>
  </si>
  <si>
    <t>Darrell Bowen</t>
  </si>
  <si>
    <t>Steven Campbell</t>
  </si>
  <si>
    <t>Anthony Graham</t>
  </si>
  <si>
    <t>Mariah Hardin</t>
  </si>
  <si>
    <t>Julia Griffith</t>
  </si>
  <si>
    <t>Jenna Ayala</t>
  </si>
  <si>
    <t>Holly Sanders</t>
  </si>
  <si>
    <t>Andrea Scott</t>
  </si>
  <si>
    <t>Megan Miller</t>
  </si>
  <si>
    <t>Frank Davis</t>
  </si>
  <si>
    <t>Carol Dunn</t>
  </si>
  <si>
    <t>Wayne Richmond MD</t>
  </si>
  <si>
    <t>Sharon Smith</t>
  </si>
  <si>
    <t>Elizabeth Snyder</t>
  </si>
  <si>
    <t>Rhonda Brock</t>
  </si>
  <si>
    <t>Mark Lang</t>
  </si>
  <si>
    <t>Kayla Harvey</t>
  </si>
  <si>
    <t>Melissa Hudson</t>
  </si>
  <si>
    <t>Laurie Mendez</t>
  </si>
  <si>
    <t>Samantha Lynch</t>
  </si>
  <si>
    <t>Angela Meyer</t>
  </si>
  <si>
    <t>Curtis Hebert</t>
  </si>
  <si>
    <t>Matthew Gibson</t>
  </si>
  <si>
    <t>Amanda Salazar</t>
  </si>
  <si>
    <t>Jessica Mcdowell</t>
  </si>
  <si>
    <t>Allison Thompson</t>
  </si>
  <si>
    <t>Summer Shepherd</t>
  </si>
  <si>
    <t>Loretta Brandt</t>
  </si>
  <si>
    <t>Stephanie Weiss</t>
  </si>
  <si>
    <t>Scott Wagner</t>
  </si>
  <si>
    <t>Christopher Martin</t>
  </si>
  <si>
    <t>Joshua Brooks</t>
  </si>
  <si>
    <t>Anthony Moore</t>
  </si>
  <si>
    <t>James Rodriguez</t>
  </si>
  <si>
    <t>Julie Marshall</t>
  </si>
  <si>
    <t>Tina Mckay</t>
  </si>
  <si>
    <t>Melissa Nicholson</t>
  </si>
  <si>
    <t>Janice Sosa</t>
  </si>
  <si>
    <t>Gail Hoffman</t>
  </si>
  <si>
    <t>Ryan Scott</t>
  </si>
  <si>
    <t>Anne Joseph</t>
  </si>
  <si>
    <t>Thomas Oliver</t>
  </si>
  <si>
    <t>Shelby Townsend</t>
  </si>
  <si>
    <t>Barbara Patterson</t>
  </si>
  <si>
    <t>Jonathan Moore</t>
  </si>
  <si>
    <t>Elizabeth Maddox</t>
  </si>
  <si>
    <t>Dawn Hart</t>
  </si>
  <si>
    <t>Victoria Simmons</t>
  </si>
  <si>
    <t>Yvette Calderon</t>
  </si>
  <si>
    <t>Amanda Brady</t>
  </si>
  <si>
    <t>Joel Davis</t>
  </si>
  <si>
    <t>Richard Hicks</t>
  </si>
  <si>
    <t>Lauren Fox</t>
  </si>
  <si>
    <t>Alexander Gonzalez</t>
  </si>
  <si>
    <t>Dawn Humphrey</t>
  </si>
  <si>
    <t>Stephanie Rivas</t>
  </si>
  <si>
    <t>Destiny Spencer</t>
  </si>
  <si>
    <t>Robyn Gomez</t>
  </si>
  <si>
    <t>Jeremy Thompson</t>
  </si>
  <si>
    <t>David Butler</t>
  </si>
  <si>
    <t>Michael Vega</t>
  </si>
  <si>
    <t>Bryan Garcia</t>
  </si>
  <si>
    <t>Lauren Swanson</t>
  </si>
  <si>
    <t>Cameron Smith MD</t>
  </si>
  <si>
    <t>Richard Donovan</t>
  </si>
  <si>
    <t>Anna Baker</t>
  </si>
  <si>
    <t>Cassidy Parks</t>
  </si>
  <si>
    <t>Francisco Obrien</t>
  </si>
  <si>
    <t>Andrew Patterson</t>
  </si>
  <si>
    <t>Anthony Miller</t>
  </si>
  <si>
    <t>James Anderson</t>
  </si>
  <si>
    <t>James Stevens</t>
  </si>
  <si>
    <t>Bobby Burns</t>
  </si>
  <si>
    <t>Lisa Martinez</t>
  </si>
  <si>
    <t>Shannon Walker</t>
  </si>
  <si>
    <t>Sally Brown</t>
  </si>
  <si>
    <t>Keith Peterson</t>
  </si>
  <si>
    <t>Natalie Gutierrez</t>
  </si>
  <si>
    <t>Lindsay Vargas</t>
  </si>
  <si>
    <t>Kevin Cruz</t>
  </si>
  <si>
    <t>Patrick Williams</t>
  </si>
  <si>
    <t>Dr. Brittany Martin</t>
  </si>
  <si>
    <t>Karen Boyer</t>
  </si>
  <si>
    <t>Brittany Allison</t>
  </si>
  <si>
    <t>Allen Myers</t>
  </si>
  <si>
    <t>Jenny Turner</t>
  </si>
  <si>
    <t>Shane Acosta</t>
  </si>
  <si>
    <t>Mark Gonzalez</t>
  </si>
  <si>
    <t>Tracy Clark</t>
  </si>
  <si>
    <t>Garrett Davis</t>
  </si>
  <si>
    <t>Tiffany Harris</t>
  </si>
  <si>
    <t>Heather Bryan</t>
  </si>
  <si>
    <t>Paul Serrano</t>
  </si>
  <si>
    <t>Dillon Kemp</t>
  </si>
  <si>
    <t>Michelle Harrington</t>
  </si>
  <si>
    <t>Bradley Galloway</t>
  </si>
  <si>
    <t>James Scott</t>
  </si>
  <si>
    <t>Meagan Campbell</t>
  </si>
  <si>
    <t>Sean Strickland</t>
  </si>
  <si>
    <t>Courtney Marshall</t>
  </si>
  <si>
    <t>Michelle Barnes</t>
  </si>
  <si>
    <t>James Harris</t>
  </si>
  <si>
    <t>Kendra Contreras</t>
  </si>
  <si>
    <t>Rachel Mcbride</t>
  </si>
  <si>
    <t>Alexa Coleman</t>
  </si>
  <si>
    <t>Jonathan Barnes</t>
  </si>
  <si>
    <t>Amy Johnston</t>
  </si>
  <si>
    <t>Ruth Alexander</t>
  </si>
  <si>
    <t>Tony Vargas</t>
  </si>
  <si>
    <t>John Morrison</t>
  </si>
  <si>
    <t>Tyler Preston</t>
  </si>
  <si>
    <t>Antonio Combs</t>
  </si>
  <si>
    <t>Steven Henderson</t>
  </si>
  <si>
    <t>Cody Pham</t>
  </si>
  <si>
    <t>Andrea Burke</t>
  </si>
  <si>
    <t>Jacqueline Bailey</t>
  </si>
  <si>
    <t>Stacey Khan</t>
  </si>
  <si>
    <t>Erin Baker</t>
  </si>
  <si>
    <t>Mr. Phillip Harris</t>
  </si>
  <si>
    <t>Robert Choi</t>
  </si>
  <si>
    <t>Billy Harris</t>
  </si>
  <si>
    <t>Kari Nunez</t>
  </si>
  <si>
    <t>Taylor Stewart</t>
  </si>
  <si>
    <t>Stephanie Reed</t>
  </si>
  <si>
    <t>Brandi Diaz</t>
  </si>
  <si>
    <t>Jennifer Stevens</t>
  </si>
  <si>
    <t>Robin Wyatt</t>
  </si>
  <si>
    <t>Elijah Atkinson</t>
  </si>
  <si>
    <t>Jennifer Wise</t>
  </si>
  <si>
    <t>Amber Berry</t>
  </si>
  <si>
    <t>Mrs. Kari Gonzalez</t>
  </si>
  <si>
    <t>Dakota Peterson</t>
  </si>
  <si>
    <t>Bradley Webster</t>
  </si>
  <si>
    <t>Jeremy Clark</t>
  </si>
  <si>
    <t>Sheri Hamilton</t>
  </si>
  <si>
    <t>Heather Munoz</t>
  </si>
  <si>
    <t>Christopher Bowman</t>
  </si>
  <si>
    <t>Leslie Lane</t>
  </si>
  <si>
    <t>Danny Sullivan</t>
  </si>
  <si>
    <t>William Baker</t>
  </si>
  <si>
    <t>Erica Gibson</t>
  </si>
  <si>
    <t>Todd Cook</t>
  </si>
  <si>
    <t>Stephanie Jones</t>
  </si>
  <si>
    <t>Suzanne Suarez</t>
  </si>
  <si>
    <t>Sydney Williams DVM</t>
  </si>
  <si>
    <t>Lisa Foster</t>
  </si>
  <si>
    <t>Jennifer Gonzalez</t>
  </si>
  <si>
    <t>Chelsea Horn</t>
  </si>
  <si>
    <t>Lucas Whitaker</t>
  </si>
  <si>
    <t>Jenna Anderson</t>
  </si>
  <si>
    <t>Jennifer Howard</t>
  </si>
  <si>
    <t>Rebecca Patterson</t>
  </si>
  <si>
    <t>John Walton</t>
  </si>
  <si>
    <t>Tammy Burke</t>
  </si>
  <si>
    <t>Patrick Garcia</t>
  </si>
  <si>
    <t>Hannah Sharp</t>
  </si>
  <si>
    <t>Christopher Leblanc</t>
  </si>
  <si>
    <t>Amanda Zimmerman</t>
  </si>
  <si>
    <t>Craig Hodges</t>
  </si>
  <si>
    <t>Chad Nguyen</t>
  </si>
  <si>
    <t>James Chang</t>
  </si>
  <si>
    <t>Jaime English</t>
  </si>
  <si>
    <t>Jennifer Hudson</t>
  </si>
  <si>
    <t>Joshua Vincent MD</t>
  </si>
  <si>
    <t>Amanda Campbell</t>
  </si>
  <si>
    <t>Taylor Williams</t>
  </si>
  <si>
    <t>Destiny Boyd</t>
  </si>
  <si>
    <t>Sally Richardson</t>
  </si>
  <si>
    <t>Mark Peters</t>
  </si>
  <si>
    <t>Glen Nixon</t>
  </si>
  <si>
    <t>Anthony Thomas</t>
  </si>
  <si>
    <t>Kyle Flores</t>
  </si>
  <si>
    <t>Dr. Brian Mendez</t>
  </si>
  <si>
    <t>Mary Gutierrez</t>
  </si>
  <si>
    <t>Timothy Ramirez</t>
  </si>
  <si>
    <t>Mr. Eric Andrews</t>
  </si>
  <si>
    <t>Christina Cross</t>
  </si>
  <si>
    <t>Rebecca Huffman</t>
  </si>
  <si>
    <t>Amanda White</t>
  </si>
  <si>
    <t>Andre Caldwell</t>
  </si>
  <si>
    <t>Timothy White</t>
  </si>
  <si>
    <t>Dennis Gibbs</t>
  </si>
  <si>
    <t>Peter Thomas</t>
  </si>
  <si>
    <t>Lisa Camacho</t>
  </si>
  <si>
    <t>Michelle Moore</t>
  </si>
  <si>
    <t>Derek Martinez</t>
  </si>
  <si>
    <t>Kathy Soto</t>
  </si>
  <si>
    <t>Joan Russell</t>
  </si>
  <si>
    <t>Laura Morris</t>
  </si>
  <si>
    <t>Patricia Arnold</t>
  </si>
  <si>
    <t>Nathan Jones</t>
  </si>
  <si>
    <t>Monica Ramsey</t>
  </si>
  <si>
    <t>Cody Evans</t>
  </si>
  <si>
    <t>Mr. Adam Cantu Jr.</t>
  </si>
  <si>
    <t>Hayden Harris</t>
  </si>
  <si>
    <t>Christopher Ortega</t>
  </si>
  <si>
    <t>Jennifer Green</t>
  </si>
  <si>
    <t>Trevor Adkins</t>
  </si>
  <si>
    <t>Shane Sherman</t>
  </si>
  <si>
    <t>Kenneth Ryan</t>
  </si>
  <si>
    <t>Patrick Mooney</t>
  </si>
  <si>
    <t>Jose Evans</t>
  </si>
  <si>
    <t>Brett Mcneil</t>
  </si>
  <si>
    <t>Crystal Craig</t>
  </si>
  <si>
    <t>Darrell Cunningham</t>
  </si>
  <si>
    <t>Brandon Nguyen</t>
  </si>
  <si>
    <t>James Marsh</t>
  </si>
  <si>
    <t>Sonya Mccann</t>
  </si>
  <si>
    <t>Cynthia Stewart</t>
  </si>
  <si>
    <t>Tina Burnett</t>
  </si>
  <si>
    <t>Robert Mcbride</t>
  </si>
  <si>
    <t>Christopher Dougherty</t>
  </si>
  <si>
    <t>James Mcclure</t>
  </si>
  <si>
    <t>Maria Mendez</t>
  </si>
  <si>
    <t>David Brown</t>
  </si>
  <si>
    <t>Brandi Barton</t>
  </si>
  <si>
    <t>Robert Wood</t>
  </si>
  <si>
    <t>Pamela Landry</t>
  </si>
  <si>
    <t>Joseph Tran</t>
  </si>
  <si>
    <t>Joseph Foster</t>
  </si>
  <si>
    <t>John Williams</t>
  </si>
  <si>
    <t>Mitchell Castro</t>
  </si>
  <si>
    <t>Cheryl Taylor</t>
  </si>
  <si>
    <t>Andrea Diaz</t>
  </si>
  <si>
    <t>David Cabrera</t>
  </si>
  <si>
    <t>Christopher Chavez</t>
  </si>
  <si>
    <t>David Miller</t>
  </si>
  <si>
    <t>Cheryl Palmer</t>
  </si>
  <si>
    <t>Robin Smith</t>
  </si>
  <si>
    <t>Kevin Allison</t>
  </si>
  <si>
    <t>Geoffrey Morales</t>
  </si>
  <si>
    <t>Mary Kemp</t>
  </si>
  <si>
    <t>Sara Robinson</t>
  </si>
  <si>
    <t>Carol Davenport</t>
  </si>
  <si>
    <t>Andrea Schmidt</t>
  </si>
  <si>
    <t>Tony Rose</t>
  </si>
  <si>
    <t>Darren Owens</t>
  </si>
  <si>
    <t>Morgan Cunningham</t>
  </si>
  <si>
    <t>Alexander Hansen</t>
  </si>
  <si>
    <t>David Barnes</t>
  </si>
  <si>
    <t>Taylor Garrison</t>
  </si>
  <si>
    <t>Mary Hawkins</t>
  </si>
  <si>
    <t>Nicholas Best</t>
  </si>
  <si>
    <t>Dale Lee</t>
  </si>
  <si>
    <t>Kimberly Gutierrez MD</t>
  </si>
  <si>
    <t>Willie Oneal</t>
  </si>
  <si>
    <t>Allison Hernandez</t>
  </si>
  <si>
    <t>Joseph Murray</t>
  </si>
  <si>
    <t>Dale Mack</t>
  </si>
  <si>
    <t>Kayla Graham</t>
  </si>
  <si>
    <t>Richard Mccarty</t>
  </si>
  <si>
    <t>John Rogers</t>
  </si>
  <si>
    <t>Mr. Jermaine Moore Jr.</t>
  </si>
  <si>
    <t>Eric Porter</t>
  </si>
  <si>
    <t>Mr. Ricky Porter</t>
  </si>
  <si>
    <t>Michael Patrick</t>
  </si>
  <si>
    <t>Michael Buck</t>
  </si>
  <si>
    <t>Kathleen Small</t>
  </si>
  <si>
    <t>Jonathan Johnson</t>
  </si>
  <si>
    <t>John Webb</t>
  </si>
  <si>
    <t>Larry Lewis</t>
  </si>
  <si>
    <t>Joshua Miller</t>
  </si>
  <si>
    <t>Alyssa Jacobson</t>
  </si>
  <si>
    <t>Jacob Peters</t>
  </si>
  <si>
    <t>Michael Abbott</t>
  </si>
  <si>
    <t>Mark Fry</t>
  </si>
  <si>
    <t>Brian Cox</t>
  </si>
  <si>
    <t>Anthony Lawson</t>
  </si>
  <si>
    <t>Heather Ruiz</t>
  </si>
  <si>
    <t>Deanna Taylor</t>
  </si>
  <si>
    <t>Natalie Hahn</t>
  </si>
  <si>
    <t>Victoria Stewart</t>
  </si>
  <si>
    <t>Jeffrey Clements</t>
  </si>
  <si>
    <t>Amanda Shannon</t>
  </si>
  <si>
    <t>Kevin Lopez</t>
  </si>
  <si>
    <t>Anthony Mullen</t>
  </si>
  <si>
    <t>Dennis Wheeler</t>
  </si>
  <si>
    <t>Robin Allen</t>
  </si>
  <si>
    <t>Jared Donovan</t>
  </si>
  <si>
    <t>Hannah Koch</t>
  </si>
  <si>
    <t>Gary Mcdaniel</t>
  </si>
  <si>
    <t>William Thompson</t>
  </si>
  <si>
    <t>Antonio Escobar</t>
  </si>
  <si>
    <t>Dana Henderson</t>
  </si>
  <si>
    <t>Adrian Bryant</t>
  </si>
  <si>
    <t>James Wilson</t>
  </si>
  <si>
    <t>Derek Thomas</t>
  </si>
  <si>
    <t>Shaun Castillo</t>
  </si>
  <si>
    <t>Cody Williams</t>
  </si>
  <si>
    <t>Lauren Cooper</t>
  </si>
  <si>
    <t>Frederick Reilly</t>
  </si>
  <si>
    <t>Ronald Shaffer DVM</t>
  </si>
  <si>
    <t>Lisa Henry</t>
  </si>
  <si>
    <t>Robert Peterson</t>
  </si>
  <si>
    <t>Kimberly Brown</t>
  </si>
  <si>
    <t>Diana Griffin</t>
  </si>
  <si>
    <t>Cristina Brown</t>
  </si>
  <si>
    <t>Jodi Ford</t>
  </si>
  <si>
    <t>Lisa Miller</t>
  </si>
  <si>
    <t>Nichole Smith</t>
  </si>
  <si>
    <t>Heather Rollins</t>
  </si>
  <si>
    <t>Sara Wilson</t>
  </si>
  <si>
    <t>Mr. Robert Olson</t>
  </si>
  <si>
    <t>Antonio Warren</t>
  </si>
  <si>
    <t>Joel Mullins</t>
  </si>
  <si>
    <t>Rebecca Freeman</t>
  </si>
  <si>
    <t>Zachary Blackburn</t>
  </si>
  <si>
    <t>Aaron Tran</t>
  </si>
  <si>
    <t>Sean Graham</t>
  </si>
  <si>
    <t>Elizabeth Hill</t>
  </si>
  <si>
    <t>Brandi Martinez</t>
  </si>
  <si>
    <t>Tiffany Keller</t>
  </si>
  <si>
    <t>Kimberly Mendoza</t>
  </si>
  <si>
    <t>Raymond Mcdonald</t>
  </si>
  <si>
    <t>Sarah Hernandez</t>
  </si>
  <si>
    <t>Jay Miller</t>
  </si>
  <si>
    <t>Connie Flores</t>
  </si>
  <si>
    <t>Megan Hanson</t>
  </si>
  <si>
    <t>Christina Knox</t>
  </si>
  <si>
    <t>Marie Williamson</t>
  </si>
  <si>
    <t>Kaylee Ashley</t>
  </si>
  <si>
    <t>Matthew Strickland</t>
  </si>
  <si>
    <t>Jessica Reilly</t>
  </si>
  <si>
    <t>Anthony Elliott</t>
  </si>
  <si>
    <t>Christine Underwood</t>
  </si>
  <si>
    <t>Cheryl Holmes MD</t>
  </si>
  <si>
    <t>Danny Harris</t>
  </si>
  <si>
    <t>Katrina Casey</t>
  </si>
  <si>
    <t>Katie Green</t>
  </si>
  <si>
    <t>Kristen Goodwin</t>
  </si>
  <si>
    <t>Edward Clark</t>
  </si>
  <si>
    <t>Robert Ward</t>
  </si>
  <si>
    <t>Robert Lozano</t>
  </si>
  <si>
    <t>Nathan Nguyen</t>
  </si>
  <si>
    <t>Sarah Schmitt MD</t>
  </si>
  <si>
    <t>Julie Jacobs</t>
  </si>
  <si>
    <t>Nathan Johnson</t>
  </si>
  <si>
    <t>Justin Holland</t>
  </si>
  <si>
    <t>Scott Gutierrez</t>
  </si>
  <si>
    <t>Jillian Long</t>
  </si>
  <si>
    <t>Anthony Gray</t>
  </si>
  <si>
    <t>Holly Morris</t>
  </si>
  <si>
    <t>Charles Martinez MD</t>
  </si>
  <si>
    <t>Marissa Perez</t>
  </si>
  <si>
    <t>Sally Murphy</t>
  </si>
  <si>
    <t>Chloe Hardin</t>
  </si>
  <si>
    <t>Michael Dawson</t>
  </si>
  <si>
    <t>Stacey Greer</t>
  </si>
  <si>
    <t>Steven Lopez</t>
  </si>
  <si>
    <t>Charles Huerta</t>
  </si>
  <si>
    <t>Jason Reid</t>
  </si>
  <si>
    <t>Karen Werner</t>
  </si>
  <si>
    <t>Katelyn Collier</t>
  </si>
  <si>
    <t>Tamara Hall</t>
  </si>
  <si>
    <t>Brian Smith</t>
  </si>
  <si>
    <t>Nichole Harrison</t>
  </si>
  <si>
    <t>Julia Brown</t>
  </si>
  <si>
    <t>James Oneal</t>
  </si>
  <si>
    <t>Keith Lawrence</t>
  </si>
  <si>
    <t>David Saunders</t>
  </si>
  <si>
    <t>Russell Love</t>
  </si>
  <si>
    <t>Richard Flores</t>
  </si>
  <si>
    <t>Scott Stephenson</t>
  </si>
  <si>
    <t>Tracy Walker</t>
  </si>
  <si>
    <t>Monica Wood</t>
  </si>
  <si>
    <t>Rodney Woodward</t>
  </si>
  <si>
    <t>Kaitlin Butler</t>
  </si>
  <si>
    <t>Lisa George</t>
  </si>
  <si>
    <t>Andrew Boyd</t>
  </si>
  <si>
    <t>David Chen</t>
  </si>
  <si>
    <t>Madison Lara</t>
  </si>
  <si>
    <t>Robin Scott</t>
  </si>
  <si>
    <t>Donna Alexander</t>
  </si>
  <si>
    <t>George Orozco</t>
  </si>
  <si>
    <t>Christine Johnson</t>
  </si>
  <si>
    <t>Amy Freeman</t>
  </si>
  <si>
    <t>Kelly Freeman</t>
  </si>
  <si>
    <t>Christina Mccoy</t>
  </si>
  <si>
    <t>Tina Phillips</t>
  </si>
  <si>
    <t>Nina Copeland</t>
  </si>
  <si>
    <t>Jeff Romero</t>
  </si>
  <si>
    <t>Rickey Salazar</t>
  </si>
  <si>
    <t>Maria Franklin</t>
  </si>
  <si>
    <t>Jenna Walker</t>
  </si>
  <si>
    <t>Joseph Ross</t>
  </si>
  <si>
    <t>Christina Villegas</t>
  </si>
  <si>
    <t>Michael Moore</t>
  </si>
  <si>
    <t>Peter Russell</t>
  </si>
  <si>
    <t>Joseph Wilkinson</t>
  </si>
  <si>
    <t>Ryan Holder</t>
  </si>
  <si>
    <t>Deanna Gomez</t>
  </si>
  <si>
    <t>Nancy Hayes</t>
  </si>
  <si>
    <t>James Evans</t>
  </si>
  <si>
    <t>Robin Dixon</t>
  </si>
  <si>
    <t>Nicole Burton</t>
  </si>
  <si>
    <t>Jessica Lucas</t>
  </si>
  <si>
    <t>David Smith</t>
  </si>
  <si>
    <t>Nicole Gomez</t>
  </si>
  <si>
    <t>Craig Powers</t>
  </si>
  <si>
    <t>Alison Hill</t>
  </si>
  <si>
    <t>Monica Alexander</t>
  </si>
  <si>
    <t>Terry Tucker</t>
  </si>
  <si>
    <t>Brian Mendoza</t>
  </si>
  <si>
    <t>Terry Velazquez</t>
  </si>
  <si>
    <t>Carlos Webb</t>
  </si>
  <si>
    <t>Alan Kim</t>
  </si>
  <si>
    <t>Charles Martinez</t>
  </si>
  <si>
    <t>Connie Ashley</t>
  </si>
  <si>
    <t>Larry Pena</t>
  </si>
  <si>
    <t>Miss Rebecca Roberts DVM</t>
  </si>
  <si>
    <t>William Robinson</t>
  </si>
  <si>
    <t>Wendy Harding DVM</t>
  </si>
  <si>
    <t>Samuel Massey</t>
  </si>
  <si>
    <t>Martin Mcbride</t>
  </si>
  <si>
    <t>Megan Mcdaniel</t>
  </si>
  <si>
    <t>Linda Martinez</t>
  </si>
  <si>
    <t>Kelsey Mosley</t>
  </si>
  <si>
    <t>Michelle Jenkins</t>
  </si>
  <si>
    <t>Justin Rogers MD</t>
  </si>
  <si>
    <t>Amanda Powell</t>
  </si>
  <si>
    <t>Sarah Castillo</t>
  </si>
  <si>
    <t>Dr. Dennis Doyle</t>
  </si>
  <si>
    <t>Adam Williams</t>
  </si>
  <si>
    <t>Melanie Harris</t>
  </si>
  <si>
    <t>Cody Carey</t>
  </si>
  <si>
    <t>Cynthia Knight</t>
  </si>
  <si>
    <t>Austin Gross</t>
  </si>
  <si>
    <t>Rebekah Clements</t>
  </si>
  <si>
    <t>Michael Smith</t>
  </si>
  <si>
    <t>Chad Henderson</t>
  </si>
  <si>
    <t>Selena Mcdaniel</t>
  </si>
  <si>
    <t>Aaron Molina</t>
  </si>
  <si>
    <t>Joel Mendoza</t>
  </si>
  <si>
    <t>James Bradford</t>
  </si>
  <si>
    <t>Victor Weaver</t>
  </si>
  <si>
    <t>Stephanie Anderson</t>
  </si>
  <si>
    <t>Stephanie Sanders</t>
  </si>
  <si>
    <t>Calvin Jones</t>
  </si>
  <si>
    <t>Julie Miller</t>
  </si>
  <si>
    <t>Diamond Morales</t>
  </si>
  <si>
    <t>Stephen Davis</t>
  </si>
  <si>
    <t>Michael Hamilton</t>
  </si>
  <si>
    <t>West</t>
  </si>
  <si>
    <t>South</t>
  </si>
  <si>
    <t>North</t>
  </si>
  <si>
    <t>East</t>
  </si>
  <si>
    <t>P050</t>
  </si>
  <si>
    <t>P001</t>
  </si>
  <si>
    <t>P021</t>
  </si>
  <si>
    <t>P040</t>
  </si>
  <si>
    <t>P028</t>
  </si>
  <si>
    <t>P011</t>
  </si>
  <si>
    <t>P022</t>
  </si>
  <si>
    <t>P027</t>
  </si>
  <si>
    <t>P019</t>
  </si>
  <si>
    <t>P006</t>
  </si>
  <si>
    <t>P026</t>
  </si>
  <si>
    <t>P005</t>
  </si>
  <si>
    <t>P044</t>
  </si>
  <si>
    <t>P042</t>
  </si>
  <si>
    <t>P031</t>
  </si>
  <si>
    <t>P029</t>
  </si>
  <si>
    <t>P043</t>
  </si>
  <si>
    <t>P015</t>
  </si>
  <si>
    <t>P009</t>
  </si>
  <si>
    <t>P024</t>
  </si>
  <si>
    <t>P049</t>
  </si>
  <si>
    <t>P004</t>
  </si>
  <si>
    <t>P018</t>
  </si>
  <si>
    <t>P017</t>
  </si>
  <si>
    <t>P039</t>
  </si>
  <si>
    <t>P007</t>
  </si>
  <si>
    <t>P023</t>
  </si>
  <si>
    <t>P016</t>
  </si>
  <si>
    <t>P034</t>
  </si>
  <si>
    <t>P014</t>
  </si>
  <si>
    <t>P012</t>
  </si>
  <si>
    <t>P033</t>
  </si>
  <si>
    <t>P037</t>
  </si>
  <si>
    <t>P020</t>
  </si>
  <si>
    <t>P041</t>
  </si>
  <si>
    <t>P046</t>
  </si>
  <si>
    <t>P045</t>
  </si>
  <si>
    <t>P030</t>
  </si>
  <si>
    <t>P010</t>
  </si>
  <si>
    <t>P032</t>
  </si>
  <si>
    <t>P036</t>
  </si>
  <si>
    <t>P025</t>
  </si>
  <si>
    <t>P002</t>
  </si>
  <si>
    <t>P008</t>
  </si>
  <si>
    <t>P048</t>
  </si>
  <si>
    <t>P003</t>
  </si>
  <si>
    <t>P035</t>
  </si>
  <si>
    <t>P047</t>
  </si>
  <si>
    <t>P038</t>
  </si>
  <si>
    <t>P013</t>
  </si>
  <si>
    <t>Marker Set</t>
  </si>
  <si>
    <t>Monitor</t>
  </si>
  <si>
    <t>Laptop</t>
  </si>
  <si>
    <t>Office Desk</t>
  </si>
  <si>
    <t>Smartphone</t>
  </si>
  <si>
    <t>Notebook</t>
  </si>
  <si>
    <t>Desk Chair</t>
  </si>
  <si>
    <t>Filing Cabinet</t>
  </si>
  <si>
    <t>Printer</t>
  </si>
  <si>
    <t>Headphones</t>
  </si>
  <si>
    <t>Stationery</t>
  </si>
  <si>
    <t>Electronics</t>
  </si>
  <si>
    <t>Furniture</t>
  </si>
  <si>
    <t>Bob</t>
  </si>
  <si>
    <t>Charlie</t>
  </si>
  <si>
    <t>Diana</t>
  </si>
  <si>
    <t>Alice</t>
  </si>
  <si>
    <t>Cash</t>
  </si>
  <si>
    <t>Credit Card</t>
  </si>
  <si>
    <t>PayPal</t>
  </si>
  <si>
    <t>No</t>
  </si>
  <si>
    <t>Yes</t>
  </si>
  <si>
    <t>Purchased Month</t>
  </si>
  <si>
    <t>Purchased YEAR</t>
  </si>
  <si>
    <t>Purchased Day</t>
  </si>
  <si>
    <t xml:space="preserve">Status </t>
  </si>
  <si>
    <t>Returned2</t>
  </si>
  <si>
    <t xml:space="preserve">Total Sales </t>
  </si>
  <si>
    <t>Grand Total</t>
  </si>
  <si>
    <t>Product</t>
  </si>
  <si>
    <t xml:space="preserve">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</si>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</sst>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2" borderId="0" xfId="0" applyFont="1" applyFill="1"/>
    <xf numFmtId="0" fontId="2" fillId="2" borderId="0" xfId="0" applyFont="1" applyFill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3" borderId="0" xfId="0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pivotButton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55">
    <dxf>
      <font>
        <b/>
      </font>
    </dxf>
    <dxf>
      <font>
        <b val="0"/>
      </font>
    </dxf>
    <dxf>
      <font>
        <sz val="12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30" formatCode="@"/>
    </dxf>
    <dxf>
      <numFmt numFmtId="30" formatCode="@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85725</xdr:rowOff>
    </xdr:from>
    <xdr:to>
      <xdr:col>9</xdr:col>
      <xdr:colOff>19050</xdr:colOff>
      <xdr:row>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280B62-D23C-5488-69DC-CB7A3F1F837E}"/>
            </a:ext>
          </a:extLst>
        </xdr:cNvPr>
        <xdr:cNvSpPr txBox="1"/>
      </xdr:nvSpPr>
      <xdr:spPr>
        <a:xfrm>
          <a:off x="0" y="85725"/>
          <a:ext cx="4229100" cy="6096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Sales-Analysis-by-Product-and-Region</a:t>
          </a:r>
        </a:p>
        <a:p>
          <a:endParaRPr lang="en-GH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0.61614189815" createdVersion="8" refreshedVersion="8" minRefreshableVersion="3" recordCount="500" xr:uid="{62755FE8-F130-483F-B367-8A6CADCBBCDA}">
  <cacheSource type="worksheet">
    <worksheetSource name="Default_sheet_1"/>
  </cacheSource>
  <cacheFields count="8">
    <cacheField name="Name" numFmtId="0">
      <sharedItems count="498">
        <s v="Jeanette Dalton"/>
        <s v="Michael Pittman"/>
        <s v="Kimberly Myers"/>
        <s v="Dr. Toni Peters"/>
        <s v="Brad Williams"/>
        <s v="Dr. Joseph Anderson"/>
        <s v="Daniel Henry"/>
        <s v="Michael Allen"/>
        <s v="Penny Johnson"/>
        <s v="Christy Powers"/>
        <s v="Austin Johnston"/>
        <s v="Ms. Elizabeth Evans MD"/>
        <s v="Ryan Goodwin"/>
        <s v="Wayne Espinoza"/>
        <s v="Steven Smith"/>
        <s v="Kristin Snyder"/>
        <s v="Crystal Smith"/>
        <s v="Anthony Hernandez"/>
        <s v="Janet Meyers"/>
        <s v="Michael Campbell"/>
        <s v="Christian Lee"/>
        <s v="Michael Johnson"/>
        <s v="Carla Norris"/>
        <s v="Lauren Jackson"/>
        <s v="Jacqueline Jackson"/>
        <s v="Donna Turner"/>
        <s v="Ryan Jones"/>
        <s v="Cole Miller"/>
        <s v="Alice Landry"/>
        <s v="Amy Rivera"/>
        <s v="John Atkinson"/>
        <s v="Margaret Vaughn"/>
        <s v="Danielle Huerta"/>
        <s v="Tanner Schmidt"/>
        <s v="Jessica Fletcher"/>
        <s v="Mary Paul"/>
        <s v="Adrian Martinez"/>
        <s v="Rodney Gray"/>
        <s v="Angela Dodson"/>
        <s v="Michael Lawrence"/>
        <s v="Nicholas King"/>
        <s v="Scott Li"/>
        <s v="Erin Mcclure"/>
        <s v="Spencer Hansen"/>
        <s v="Cindy Green"/>
        <s v="Stephen Lopez"/>
        <s v="Deborah Wilson"/>
        <s v="Chelsea Anderson"/>
        <s v="Nancy Peterson"/>
        <s v="Jessica Harris"/>
        <s v="Kristina Hood"/>
        <s v="Eric Arellano"/>
        <s v="Henry Andrews"/>
        <s v="Kyle Hall"/>
        <s v="Lisa Sweeney"/>
        <s v="Austin Evans"/>
        <s v="Darrell Bowen"/>
        <s v="Steven Campbell"/>
        <s v="Anthony Graham"/>
        <s v="Mariah Hardin"/>
        <s v="Julia Griffith"/>
        <s v="Jenna Ayala"/>
        <s v="Holly Sanders"/>
        <s v="Andrea Scott"/>
        <s v="Megan Miller"/>
        <s v="Frank Davis"/>
        <s v="Carol Dunn"/>
        <s v="Wayne Richmond MD"/>
        <s v="Sharon Smith"/>
        <s v="Elizabeth Snyder"/>
        <s v="Rhonda Brock"/>
        <s v="Mark Lang"/>
        <s v="Kayla Harvey"/>
        <s v="Melissa Hudson"/>
        <s v="Laurie Mendez"/>
        <s v="Samantha Lynch"/>
        <s v="Angela Meyer"/>
        <s v="Curtis Hebert"/>
        <s v="Matthew Gibson"/>
        <s v="Amanda Salazar"/>
        <s v="Jessica Mcdowell"/>
        <s v="Allison Thompson"/>
        <s v="Summer Shepherd"/>
        <s v="Loretta Brandt"/>
        <s v="Stephanie Weiss"/>
        <s v="Scott Wagner"/>
        <s v="Christopher Martin"/>
        <s v="Joshua Brooks"/>
        <s v="Anthony Moore"/>
        <s v="James Rodriguez"/>
        <s v="Julie Marshall"/>
        <s v="Tina Mckay"/>
        <s v="Melissa Nicholson"/>
        <s v="Janice Sosa"/>
        <s v="Gail Hoffman"/>
        <s v="Ryan Scott"/>
        <s v="Anne Joseph"/>
        <s v="Thomas Oliver"/>
        <s v="Shelby Townsend"/>
        <s v="Barbara Patterson"/>
        <s v="Jonathan Moore"/>
        <s v="Elizabeth Maddox"/>
        <s v="Dawn Hart"/>
        <s v="Victoria Simmons"/>
        <s v="Yvette Calderon"/>
        <s v="Amanda Brady"/>
        <s v="Joel Davis"/>
        <s v="Richard Hicks"/>
        <s v="Lauren Fox"/>
        <s v="Alexander Gonzalez"/>
        <s v="Dawn Humphrey"/>
        <s v="Stephanie Rivas"/>
        <s v="Destiny Spencer"/>
        <s v="Robyn Gomez"/>
        <s v="Jeremy Thompson"/>
        <s v="David Butler"/>
        <s v="Michael Vega"/>
        <s v="Bryan Garcia"/>
        <s v="Lauren Swanson"/>
        <s v="Cameron Smith MD"/>
        <s v="Richard Donovan"/>
        <s v="Anna Baker"/>
        <s v="Cassidy Parks"/>
        <s v="Francisco Obrien"/>
        <s v="Andrew Patterson"/>
        <s v="Anthony Miller"/>
        <s v="James Anderson"/>
        <s v="James Stevens"/>
        <s v="Bobby Burns"/>
        <s v="Lisa Martinez"/>
        <s v="Shannon Walker"/>
        <s v="Sally Brown"/>
        <s v="Keith Peterson"/>
        <s v="Natalie Gutierrez"/>
        <s v="Lindsay Vargas"/>
        <s v="Kevin Cruz"/>
        <s v="Patrick Williams"/>
        <s v="Dr. Brittany Martin"/>
        <s v="Karen Boyer"/>
        <s v="Brittany Allison"/>
        <s v="Allen Myers"/>
        <s v="Jenny Turner"/>
        <s v="Shane Acosta"/>
        <s v="Mark Gonzalez"/>
        <s v="Tracy Clark"/>
        <s v="Garrett Davis"/>
        <s v="Tiffany Harris"/>
        <s v="Heather Bryan"/>
        <s v="Paul Serrano"/>
        <s v="Dillon Kemp"/>
        <s v="Michelle Harrington"/>
        <s v="Bradley Galloway"/>
        <s v="James Scott"/>
        <s v="Meagan Campbell"/>
        <s v="Sean Strickland"/>
        <s v="Courtney Marshall"/>
        <s v="Michelle Barnes"/>
        <s v="James Harris"/>
        <s v="Kendra Contreras"/>
        <s v="Rachel Mcbride"/>
        <s v="Alexa Coleman"/>
        <s v="Jonathan Barnes"/>
        <s v="Amy Johnston"/>
        <s v="Ruth Alexander"/>
        <s v="Tony Vargas"/>
        <s v="John Morrison"/>
        <s v="Tyler Preston"/>
        <s v="Antonio Combs"/>
        <s v="Steven Henderson"/>
        <s v="Cody Pham"/>
        <s v="Andrea Burke"/>
        <s v="Jacqueline Bailey"/>
        <s v="Stacey Khan"/>
        <s v="Erin Baker"/>
        <s v="Mr. Phillip Harris"/>
        <s v="Robert Choi"/>
        <s v="Billy Harris"/>
        <s v="Kari Nunez"/>
        <s v="Taylor Stewart"/>
        <s v="Stephanie Reed"/>
        <s v="Brandi Diaz"/>
        <s v="Jennifer Stevens"/>
        <s v="Robin Wyatt"/>
        <s v="Elijah Atkinson"/>
        <s v="Jennifer Wise"/>
        <s v="Amber Berry"/>
        <s v="Mrs. Kari Gonzalez"/>
        <s v="Dakota Peterson"/>
        <s v="Bradley Webster"/>
        <s v="Jeremy Clark"/>
        <s v="Sheri Hamilton"/>
        <s v="Heather Munoz"/>
        <s v="Christopher Bowman"/>
        <s v="Leslie Lane"/>
        <s v="Danny Sullivan"/>
        <s v="William Baker"/>
        <s v="Erica Gibson"/>
        <s v="Todd Cook"/>
        <s v="Stephanie Jones"/>
        <s v="Suzanne Suarez"/>
        <s v="Sydney Williams DVM"/>
        <s v="Lisa Foster"/>
        <s v="Jennifer Gonzalez"/>
        <s v="Chelsea Horn"/>
        <s v="Lucas Whitaker"/>
        <s v="Jenna Anderson"/>
        <s v="Jennifer Howard"/>
        <s v="Rebecca Patterson"/>
        <s v="John Walton"/>
        <s v="Tammy Burke"/>
        <s v="Patrick Garcia"/>
        <s v="Hannah Sharp"/>
        <s v="Christopher Leblanc"/>
        <s v="Amanda Zimmerman"/>
        <s v="Craig Hodges"/>
        <s v="Chad Nguyen"/>
        <s v="James Chang"/>
        <s v="Jaime English"/>
        <s v="Jennifer Hudson"/>
        <s v="Joshua Vincent MD"/>
        <s v="Amanda Campbell"/>
        <s v="Taylor Williams"/>
        <s v="Destiny Boyd"/>
        <s v="Sally Richardson"/>
        <s v="Mark Peters"/>
        <s v="Glen Nixon"/>
        <s v="Anthony Thomas"/>
        <s v="Kyle Flores"/>
        <s v="Dr. Brian Mendez"/>
        <s v="Mary Gutierrez"/>
        <s v="Timothy Ramirez"/>
        <s v="Mr. Eric Andrews"/>
        <s v="Christina Cross"/>
        <s v="Rebecca Huffman"/>
        <s v="Amanda White"/>
        <s v="Andre Caldwell"/>
        <s v="Timothy White"/>
        <s v="Dennis Gibbs"/>
        <s v="Peter Thomas"/>
        <s v="Lisa Camacho"/>
        <s v="Michelle Moore"/>
        <s v="Derek Martinez"/>
        <s v="Kathy Soto"/>
        <s v="Joan Russell"/>
        <s v="Laura Morris"/>
        <s v="Patricia Arnold"/>
        <s v="Nathan Jones"/>
        <s v="Monica Ramsey"/>
        <s v="Cody Evans"/>
        <s v="Mr. Adam Cantu Jr."/>
        <s v="Hayden Harris"/>
        <s v="Christopher Ortega"/>
        <s v="Jennifer Green"/>
        <s v="Trevor Adkins"/>
        <s v="Shane Sherman"/>
        <s v="Kenneth Ryan"/>
        <s v="Patrick Mooney"/>
        <s v="Jose Evans"/>
        <s v="Brett Mcneil"/>
        <s v="Crystal Craig"/>
        <s v="Darrell Cunningham"/>
        <s v="Brandon Nguyen"/>
        <s v="James Marsh"/>
        <s v="Sonya Mccann"/>
        <s v="Cynthia Stewart"/>
        <s v="Tina Burnett"/>
        <s v="Robert Mcbride"/>
        <s v="Christopher Dougherty"/>
        <s v="James Mcclure"/>
        <s v="Maria Mendez"/>
        <s v="David Brown"/>
        <s v="Brandi Barton"/>
        <s v="Robert Wood"/>
        <s v="Pamela Landry"/>
        <s v="Joseph Tran"/>
        <s v="Joseph Foster"/>
        <s v="John Williams"/>
        <s v="Mitchell Castro"/>
        <s v="Cheryl Taylor"/>
        <s v="Andrea Diaz"/>
        <s v="David Cabrera"/>
        <s v="Christopher Chavez"/>
        <s v="David Miller"/>
        <s v="Cheryl Palmer"/>
        <s v="Robin Smith"/>
        <s v="Kevin Allison"/>
        <s v="Geoffrey Morales"/>
        <s v="Mary Kemp"/>
        <s v="Sara Robinson"/>
        <s v="Carol Davenport"/>
        <s v="Andrea Schmidt"/>
        <s v="Tony Rose"/>
        <s v="Darren Owens"/>
        <s v="Morgan Cunningham"/>
        <s v="Alexander Hansen"/>
        <s v="David Barnes"/>
        <s v="Taylor Garrison"/>
        <s v="Mary Hawkins"/>
        <s v="Nicholas Best"/>
        <s v="Dale Lee"/>
        <s v="Kimberly Gutierrez MD"/>
        <s v="Willie Oneal"/>
        <s v="Allison Hernandez"/>
        <s v="Joseph Murray"/>
        <s v="Dale Mack"/>
        <s v="Kayla Graham"/>
        <s v="Richard Mccarty"/>
        <s v="John Rogers"/>
        <s v="Mr. Jermaine Moore Jr."/>
        <s v="Eric Porter"/>
        <s v="Mr. Ricky Porter"/>
        <s v="Michael Patrick"/>
        <s v="Michael Buck"/>
        <s v="Kathleen Small"/>
        <s v="Jonathan Johnson"/>
        <s v="John Webb"/>
        <s v="Larry Lewis"/>
        <s v="Joshua Miller"/>
        <s v="Alyssa Jacobson"/>
        <s v="Jacob Peters"/>
        <s v="Michael Abbott"/>
        <s v="Mark Fry"/>
        <s v="Brian Cox"/>
        <s v="Anthony Lawson"/>
        <s v="Heather Ruiz"/>
        <s v="Deanna Taylor"/>
        <s v="Natalie Hahn"/>
        <s v="Victoria Stewart"/>
        <s v="Jeffrey Clements"/>
        <s v="Amanda Shannon"/>
        <s v="Kevin Lopez"/>
        <s v="Anthony Mullen"/>
        <s v="Dennis Wheeler"/>
        <s v="Robin Allen"/>
        <s v="Jared Donovan"/>
        <s v="Hannah Koch"/>
        <s v="Gary Mcdaniel"/>
        <s v="William Thompson"/>
        <s v="Antonio Escobar"/>
        <s v="Dana Henderson"/>
        <s v="Adrian Bryant"/>
        <s v="James Wilson"/>
        <s v="Derek Thomas"/>
        <s v="Shaun Castillo"/>
        <s v="Cody Williams"/>
        <s v="Lauren Cooper"/>
        <s v="Frederick Reilly"/>
        <s v="Ronald Shaffer DVM"/>
        <s v="Lisa Henry"/>
        <s v="Robert Peterson"/>
        <s v="Kimberly Brown"/>
        <s v="Diana Griffin"/>
        <s v="Cristina Brown"/>
        <s v="Jodi Ford"/>
        <s v="Lisa Miller"/>
        <s v="Nichole Smith"/>
        <s v="Heather Rollins"/>
        <s v="Sara Wilson"/>
        <s v="Mr. Robert Olson"/>
        <s v="Antonio Warren"/>
        <s v="Joel Mullins"/>
        <s v="Rebecca Freeman"/>
        <s v="Zachary Blackburn"/>
        <s v="Aaron Tran"/>
        <s v="Sean Graham"/>
        <s v="Elizabeth Hill"/>
        <s v="Brandi Martinez"/>
        <s v="Tiffany Keller"/>
        <s v="Kimberly Mendoza"/>
        <s v="Raymond Mcdonald"/>
        <s v="Sarah Hernandez"/>
        <s v="Jay Miller"/>
        <s v="Connie Flores"/>
        <s v="Megan Hanson"/>
        <s v="Christina Knox"/>
        <s v="Marie Williamson"/>
        <s v="Kaylee Ashley"/>
        <s v="Matthew Strickland"/>
        <s v="Jessica Reilly"/>
        <s v="Anthony Elliott"/>
        <s v="Christine Underwood"/>
        <s v="Cheryl Holmes MD"/>
        <s v="Danny Harris"/>
        <s v="Katrina Casey"/>
        <s v="Katie Green"/>
        <s v="Kristen Goodwin"/>
        <s v="Edward Clark"/>
        <s v="Robert Ward"/>
        <s v="Robert Lozano"/>
        <s v="Nathan Nguyen"/>
        <s v="Sarah Schmitt MD"/>
        <s v="Julie Jacobs"/>
        <s v="Nathan Johnson"/>
        <s v="Justin Holland"/>
        <s v="Scott Gutierrez"/>
        <s v="Jillian Long"/>
        <s v="Anthony Gray"/>
        <s v="Holly Morris"/>
        <s v="Charles Martinez MD"/>
        <s v="Marissa Perez"/>
        <s v="Sally Murphy"/>
        <s v="Chloe Hardin"/>
        <s v="Michael Dawson"/>
        <s v="Stacey Greer"/>
        <s v="Steven Lopez"/>
        <s v="Charles Huerta"/>
        <s v="Jason Reid"/>
        <s v="Karen Werner"/>
        <s v="Katelyn Collier"/>
        <s v="Tamara Hall"/>
        <s v="Brian Smith"/>
        <s v="Nichole Harrison"/>
        <s v="Julia Brown"/>
        <s v="James Oneal"/>
        <s v="Keith Lawrence"/>
        <s v="David Saunders"/>
        <s v="Russell Love"/>
        <s v="Richard Flores"/>
        <s v="Scott Stephenson"/>
        <s v="Tracy Walker"/>
        <s v="Monica Wood"/>
        <s v="Rodney Woodward"/>
        <s v="Kaitlin Butler"/>
        <s v="Lisa George"/>
        <s v="Andrew Boyd"/>
        <s v="David Chen"/>
        <s v="Madison Lara"/>
        <s v="Robin Scott"/>
        <s v="Donna Alexander"/>
        <s v="George Orozco"/>
        <s v="Christine Johnson"/>
        <s v="Amy Freeman"/>
        <s v="Kelly Freeman"/>
        <s v="Christina Mccoy"/>
        <s v="Tina Phillips"/>
        <s v="Nina Copeland"/>
        <s v="Jeff Romero"/>
        <s v="Rickey Salazar"/>
        <s v="Maria Franklin"/>
        <s v="Jenna Walker"/>
        <s v="Joseph Ross"/>
        <s v="Christina Villegas"/>
        <s v="Michael Moore"/>
        <s v="Peter Russell"/>
        <s v="Joseph Wilkinson"/>
        <s v="Ryan Holder"/>
        <s v="Deanna Gomez"/>
        <s v="Nancy Hayes"/>
        <s v="James Evans"/>
        <s v="Robin Dixon"/>
        <s v="Nicole Burton"/>
        <s v="Jessica Lucas"/>
        <s v="David Smith"/>
        <s v="Nicole Gomez"/>
        <s v="Craig Powers"/>
        <s v="Alison Hill"/>
        <s v="Monica Alexander"/>
        <s v="Terry Tucker"/>
        <s v="Brian Mendoza"/>
        <s v="Terry Velazquez"/>
        <s v="Carlos Webb"/>
        <s v="Alan Kim"/>
        <s v="Charles Martinez"/>
        <s v="Connie Ashley"/>
        <s v="Larry Pena"/>
        <s v="Miss Rebecca Roberts DVM"/>
        <s v="William Robinson"/>
        <s v="Wendy Harding DVM"/>
        <s v="Samuel Massey"/>
        <s v="Martin Mcbride"/>
        <s v="Megan Mcdaniel"/>
        <s v="Linda Martinez"/>
        <s v="Kelsey Mosley"/>
        <s v="Michelle Jenkins"/>
        <s v="Justin Rogers MD"/>
        <s v="Amanda Powell"/>
        <s v="Sarah Castillo"/>
        <s v="Dr. Dennis Doyle"/>
        <s v="Adam Williams"/>
        <s v="Melanie Harris"/>
        <s v="Cody Carey"/>
        <s v="Cynthia Knight"/>
        <s v="Austin Gross"/>
        <s v="Rebekah Clements"/>
        <s v="Michael Smith"/>
        <s v="Chad Henderson"/>
        <s v="Selena Mcdaniel"/>
        <s v="Aaron Molina"/>
        <s v="Joel Mendoza"/>
        <s v="James Bradford"/>
        <s v="Victor Weaver"/>
        <s v="Stephanie Anderson"/>
        <s v="Stephanie Sanders"/>
        <s v="Calvin Jones"/>
        <s v="Julie Miller"/>
        <s v="Diamond Morales"/>
        <s v="Stephen Davis"/>
        <s v="Michael Hamilton"/>
      </sharedItems>
    </cacheField>
    <cacheField name="Region" numFmtId="0">
      <sharedItems count="4">
        <s v="West"/>
        <s v="South"/>
        <s v="North"/>
        <s v="East"/>
      </sharedItems>
    </cacheField>
    <cacheField name="ProductName" numFmtId="0">
      <sharedItems count="10">
        <s v="Marker Set"/>
        <s v="Monitor"/>
        <s v="Laptop"/>
        <s v="Office Desk"/>
        <s v="Smartphone"/>
        <s v="Notebook"/>
        <s v="Desk Chair"/>
        <s v="Filing Cabinet"/>
        <s v="Printer"/>
        <s v="Headphones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containsInteger="1" minValue="1" maxValue="1496"/>
    </cacheField>
    <cacheField name="Discount %" numFmtId="0">
      <sharedItems containsSemiMixedTypes="0" containsString="0" containsNumber="1" containsInteger="1" minValue="0" maxValue="15"/>
    </cacheField>
    <cacheField name="SalesRep" numFmtId="0">
      <sharedItems/>
    </cacheField>
    <cacheField name="Total Sales " numFmtId="0">
      <sharedItems containsSemiMixedTypes="0" containsString="0" containsNumber="1" containsInteger="1" minValue="2" maxValue="2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6"/>
    <n v="2"/>
    <n v="10"/>
    <s v="Bob"/>
    <n v="12"/>
  </r>
  <r>
    <x v="1"/>
    <x v="1"/>
    <x v="0"/>
    <n v="5"/>
    <n v="7"/>
    <n v="5"/>
    <s v="Charlie"/>
    <n v="35"/>
  </r>
  <r>
    <x v="2"/>
    <x v="2"/>
    <x v="1"/>
    <n v="18"/>
    <n v="386"/>
    <n v="15"/>
    <s v="Diana"/>
    <n v="6948"/>
  </r>
  <r>
    <x v="3"/>
    <x v="2"/>
    <x v="2"/>
    <n v="17"/>
    <n v="973"/>
    <n v="5"/>
    <s v="Charlie"/>
    <n v="16541"/>
  </r>
  <r>
    <x v="4"/>
    <x v="3"/>
    <x v="3"/>
    <n v="8"/>
    <n v="211"/>
    <n v="0"/>
    <s v="Alice"/>
    <n v="1688"/>
  </r>
  <r>
    <x v="5"/>
    <x v="3"/>
    <x v="0"/>
    <n v="2"/>
    <n v="3"/>
    <n v="5"/>
    <s v="Alice"/>
    <n v="6"/>
  </r>
  <r>
    <x v="6"/>
    <x v="2"/>
    <x v="4"/>
    <n v="11"/>
    <n v="655"/>
    <n v="10"/>
    <s v="Diana"/>
    <n v="7205"/>
  </r>
  <r>
    <x v="7"/>
    <x v="3"/>
    <x v="3"/>
    <n v="3"/>
    <n v="255"/>
    <n v="15"/>
    <s v="Alice"/>
    <n v="765"/>
  </r>
  <r>
    <x v="8"/>
    <x v="1"/>
    <x v="3"/>
    <n v="3"/>
    <n v="405"/>
    <n v="15"/>
    <s v="Charlie"/>
    <n v="1215"/>
  </r>
  <r>
    <x v="9"/>
    <x v="3"/>
    <x v="5"/>
    <n v="3"/>
    <n v="4"/>
    <n v="10"/>
    <s v="Alice"/>
    <n v="12"/>
  </r>
  <r>
    <x v="10"/>
    <x v="2"/>
    <x v="4"/>
    <n v="3"/>
    <n v="642"/>
    <n v="5"/>
    <s v="Alice"/>
    <n v="1926"/>
  </r>
  <r>
    <x v="11"/>
    <x v="2"/>
    <x v="6"/>
    <n v="15"/>
    <n v="104"/>
    <n v="15"/>
    <s v="Bob"/>
    <n v="1560"/>
  </r>
  <r>
    <x v="12"/>
    <x v="2"/>
    <x v="0"/>
    <n v="5"/>
    <n v="3"/>
    <n v="0"/>
    <s v="Alice"/>
    <n v="15"/>
  </r>
  <r>
    <x v="13"/>
    <x v="3"/>
    <x v="0"/>
    <n v="16"/>
    <n v="1"/>
    <n v="15"/>
    <s v="Diana"/>
    <n v="16"/>
  </r>
  <r>
    <x v="14"/>
    <x v="1"/>
    <x v="4"/>
    <n v="8"/>
    <n v="491"/>
    <n v="5"/>
    <s v="Charlie"/>
    <n v="3928"/>
  </r>
  <r>
    <x v="15"/>
    <x v="0"/>
    <x v="0"/>
    <n v="12"/>
    <n v="9"/>
    <n v="0"/>
    <s v="Alice"/>
    <n v="108"/>
  </r>
  <r>
    <x v="16"/>
    <x v="0"/>
    <x v="3"/>
    <n v="13"/>
    <n v="178"/>
    <n v="10"/>
    <s v="Charlie"/>
    <n v="2314"/>
  </r>
  <r>
    <x v="17"/>
    <x v="0"/>
    <x v="1"/>
    <n v="3"/>
    <n v="218"/>
    <n v="0"/>
    <s v="Bob"/>
    <n v="654"/>
  </r>
  <r>
    <x v="18"/>
    <x v="1"/>
    <x v="7"/>
    <n v="12"/>
    <n v="277"/>
    <n v="0"/>
    <s v="Charlie"/>
    <n v="3324"/>
  </r>
  <r>
    <x v="19"/>
    <x v="0"/>
    <x v="1"/>
    <n v="10"/>
    <n v="288"/>
    <n v="15"/>
    <s v="Diana"/>
    <n v="2880"/>
  </r>
  <r>
    <x v="20"/>
    <x v="2"/>
    <x v="3"/>
    <n v="4"/>
    <n v="150"/>
    <n v="5"/>
    <s v="Charlie"/>
    <n v="600"/>
  </r>
  <r>
    <x v="21"/>
    <x v="0"/>
    <x v="3"/>
    <n v="10"/>
    <n v="436"/>
    <n v="15"/>
    <s v="Alice"/>
    <n v="4360"/>
  </r>
  <r>
    <x v="22"/>
    <x v="3"/>
    <x v="8"/>
    <n v="8"/>
    <n v="294"/>
    <n v="5"/>
    <s v="Alice"/>
    <n v="2352"/>
  </r>
  <r>
    <x v="23"/>
    <x v="1"/>
    <x v="9"/>
    <n v="19"/>
    <n v="58"/>
    <n v="5"/>
    <s v="Alice"/>
    <n v="1102"/>
  </r>
  <r>
    <x v="24"/>
    <x v="0"/>
    <x v="2"/>
    <n v="19"/>
    <n v="1066"/>
    <n v="10"/>
    <s v="Alice"/>
    <n v="20254"/>
  </r>
  <r>
    <x v="25"/>
    <x v="0"/>
    <x v="4"/>
    <n v="4"/>
    <n v="752"/>
    <n v="15"/>
    <s v="Alice"/>
    <n v="3008"/>
  </r>
  <r>
    <x v="26"/>
    <x v="3"/>
    <x v="3"/>
    <n v="15"/>
    <n v="427"/>
    <n v="10"/>
    <s v="Bob"/>
    <n v="6405"/>
  </r>
  <r>
    <x v="27"/>
    <x v="2"/>
    <x v="7"/>
    <n v="17"/>
    <n v="116"/>
    <n v="10"/>
    <s v="Charlie"/>
    <n v="1972"/>
  </r>
  <r>
    <x v="28"/>
    <x v="1"/>
    <x v="5"/>
    <n v="4"/>
    <n v="6"/>
    <n v="15"/>
    <s v="Alice"/>
    <n v="24"/>
  </r>
  <r>
    <x v="29"/>
    <x v="1"/>
    <x v="1"/>
    <n v="15"/>
    <n v="438"/>
    <n v="0"/>
    <s v="Diana"/>
    <n v="6570"/>
  </r>
  <r>
    <x v="30"/>
    <x v="2"/>
    <x v="7"/>
    <n v="19"/>
    <n v="161"/>
    <n v="10"/>
    <s v="Alice"/>
    <n v="3059"/>
  </r>
  <r>
    <x v="31"/>
    <x v="0"/>
    <x v="7"/>
    <n v="5"/>
    <n v="293"/>
    <n v="5"/>
    <s v="Diana"/>
    <n v="1465"/>
  </r>
  <r>
    <x v="32"/>
    <x v="0"/>
    <x v="4"/>
    <n v="20"/>
    <n v="926"/>
    <n v="10"/>
    <s v="Bob"/>
    <n v="18520"/>
  </r>
  <r>
    <x v="33"/>
    <x v="0"/>
    <x v="3"/>
    <n v="5"/>
    <n v="112"/>
    <n v="0"/>
    <s v="Bob"/>
    <n v="560"/>
  </r>
  <r>
    <x v="34"/>
    <x v="1"/>
    <x v="2"/>
    <n v="13"/>
    <n v="959"/>
    <n v="10"/>
    <s v="Bob"/>
    <n v="12467"/>
  </r>
  <r>
    <x v="35"/>
    <x v="3"/>
    <x v="6"/>
    <n v="1"/>
    <n v="138"/>
    <n v="10"/>
    <s v="Alice"/>
    <n v="138"/>
  </r>
  <r>
    <x v="36"/>
    <x v="2"/>
    <x v="8"/>
    <n v="13"/>
    <n v="207"/>
    <n v="10"/>
    <s v="Alice"/>
    <n v="2691"/>
  </r>
  <r>
    <x v="37"/>
    <x v="3"/>
    <x v="2"/>
    <n v="15"/>
    <n v="1064"/>
    <n v="5"/>
    <s v="Bob"/>
    <n v="15960"/>
  </r>
  <r>
    <x v="38"/>
    <x v="2"/>
    <x v="7"/>
    <n v="11"/>
    <n v="82"/>
    <n v="15"/>
    <s v="Alice"/>
    <n v="902"/>
  </r>
  <r>
    <x v="39"/>
    <x v="3"/>
    <x v="8"/>
    <n v="12"/>
    <n v="303"/>
    <n v="0"/>
    <s v="Charlie"/>
    <n v="3636"/>
  </r>
  <r>
    <x v="40"/>
    <x v="3"/>
    <x v="3"/>
    <n v="2"/>
    <n v="181"/>
    <n v="15"/>
    <s v="Bob"/>
    <n v="362"/>
  </r>
  <r>
    <x v="41"/>
    <x v="2"/>
    <x v="1"/>
    <n v="16"/>
    <n v="120"/>
    <n v="15"/>
    <s v="Bob"/>
    <n v="1920"/>
  </r>
  <r>
    <x v="42"/>
    <x v="2"/>
    <x v="3"/>
    <n v="18"/>
    <n v="381"/>
    <n v="5"/>
    <s v="Charlie"/>
    <n v="6858"/>
  </r>
  <r>
    <x v="43"/>
    <x v="2"/>
    <x v="7"/>
    <n v="20"/>
    <n v="279"/>
    <n v="10"/>
    <s v="Bob"/>
    <n v="5580"/>
  </r>
  <r>
    <x v="44"/>
    <x v="3"/>
    <x v="0"/>
    <n v="10"/>
    <n v="10"/>
    <n v="15"/>
    <s v="Charlie"/>
    <n v="100"/>
  </r>
  <r>
    <x v="45"/>
    <x v="2"/>
    <x v="1"/>
    <n v="18"/>
    <n v="103"/>
    <n v="5"/>
    <s v="Alice"/>
    <n v="1854"/>
  </r>
  <r>
    <x v="46"/>
    <x v="0"/>
    <x v="0"/>
    <n v="4"/>
    <n v="4"/>
    <n v="10"/>
    <s v="Charlie"/>
    <n v="16"/>
  </r>
  <r>
    <x v="47"/>
    <x v="2"/>
    <x v="1"/>
    <n v="18"/>
    <n v="250"/>
    <n v="15"/>
    <s v="Alice"/>
    <n v="4500"/>
  </r>
  <r>
    <x v="48"/>
    <x v="3"/>
    <x v="6"/>
    <n v="20"/>
    <n v="273"/>
    <n v="5"/>
    <s v="Diana"/>
    <n v="5460"/>
  </r>
  <r>
    <x v="49"/>
    <x v="1"/>
    <x v="9"/>
    <n v="3"/>
    <n v="137"/>
    <n v="5"/>
    <s v="Alice"/>
    <n v="411"/>
  </r>
  <r>
    <x v="50"/>
    <x v="3"/>
    <x v="8"/>
    <n v="9"/>
    <n v="201"/>
    <n v="5"/>
    <s v="Diana"/>
    <n v="1809"/>
  </r>
  <r>
    <x v="51"/>
    <x v="1"/>
    <x v="0"/>
    <n v="14"/>
    <n v="2"/>
    <n v="15"/>
    <s v="Diana"/>
    <n v="28"/>
  </r>
  <r>
    <x v="52"/>
    <x v="0"/>
    <x v="8"/>
    <n v="16"/>
    <n v="151"/>
    <n v="15"/>
    <s v="Alice"/>
    <n v="2416"/>
  </r>
  <r>
    <x v="53"/>
    <x v="0"/>
    <x v="6"/>
    <n v="11"/>
    <n v="286"/>
    <n v="10"/>
    <s v="Diana"/>
    <n v="3146"/>
  </r>
  <r>
    <x v="54"/>
    <x v="1"/>
    <x v="9"/>
    <n v="9"/>
    <n v="104"/>
    <n v="10"/>
    <s v="Charlie"/>
    <n v="936"/>
  </r>
  <r>
    <x v="55"/>
    <x v="3"/>
    <x v="0"/>
    <n v="8"/>
    <n v="5"/>
    <n v="10"/>
    <s v="Diana"/>
    <n v="40"/>
  </r>
  <r>
    <x v="56"/>
    <x v="3"/>
    <x v="1"/>
    <n v="16"/>
    <n v="189"/>
    <n v="0"/>
    <s v="Diana"/>
    <n v="3024"/>
  </r>
  <r>
    <x v="57"/>
    <x v="2"/>
    <x v="7"/>
    <n v="3"/>
    <n v="289"/>
    <n v="5"/>
    <s v="Bob"/>
    <n v="867"/>
  </r>
  <r>
    <x v="58"/>
    <x v="0"/>
    <x v="5"/>
    <n v="18"/>
    <n v="13"/>
    <n v="10"/>
    <s v="Bob"/>
    <n v="234"/>
  </r>
  <r>
    <x v="59"/>
    <x v="1"/>
    <x v="4"/>
    <n v="20"/>
    <n v="896"/>
    <n v="5"/>
    <s v="Charlie"/>
    <n v="17920"/>
  </r>
  <r>
    <x v="60"/>
    <x v="2"/>
    <x v="2"/>
    <n v="6"/>
    <n v="1496"/>
    <n v="0"/>
    <s v="Charlie"/>
    <n v="8976"/>
  </r>
  <r>
    <x v="61"/>
    <x v="3"/>
    <x v="6"/>
    <n v="11"/>
    <n v="296"/>
    <n v="10"/>
    <s v="Bob"/>
    <n v="3256"/>
  </r>
  <r>
    <x v="62"/>
    <x v="3"/>
    <x v="5"/>
    <n v="20"/>
    <n v="8"/>
    <n v="5"/>
    <s v="Diana"/>
    <n v="160"/>
  </r>
  <r>
    <x v="63"/>
    <x v="0"/>
    <x v="6"/>
    <n v="19"/>
    <n v="140"/>
    <n v="0"/>
    <s v="Charlie"/>
    <n v="2660"/>
  </r>
  <r>
    <x v="64"/>
    <x v="2"/>
    <x v="6"/>
    <n v="10"/>
    <n v="300"/>
    <n v="5"/>
    <s v="Charlie"/>
    <n v="3000"/>
  </r>
  <r>
    <x v="65"/>
    <x v="0"/>
    <x v="9"/>
    <n v="9"/>
    <n v="119"/>
    <n v="15"/>
    <s v="Bob"/>
    <n v="1071"/>
  </r>
  <r>
    <x v="66"/>
    <x v="2"/>
    <x v="0"/>
    <n v="8"/>
    <n v="10"/>
    <n v="0"/>
    <s v="Charlie"/>
    <n v="80"/>
  </r>
  <r>
    <x v="67"/>
    <x v="3"/>
    <x v="3"/>
    <n v="4"/>
    <n v="265"/>
    <n v="5"/>
    <s v="Charlie"/>
    <n v="1060"/>
  </r>
  <r>
    <x v="68"/>
    <x v="2"/>
    <x v="9"/>
    <n v="18"/>
    <n v="50"/>
    <n v="0"/>
    <s v="Alice"/>
    <n v="900"/>
  </r>
  <r>
    <x v="69"/>
    <x v="1"/>
    <x v="2"/>
    <n v="14"/>
    <n v="1064"/>
    <n v="5"/>
    <s v="Alice"/>
    <n v="14896"/>
  </r>
  <r>
    <x v="70"/>
    <x v="3"/>
    <x v="3"/>
    <n v="12"/>
    <n v="296"/>
    <n v="0"/>
    <s v="Alice"/>
    <n v="3552"/>
  </r>
  <r>
    <x v="71"/>
    <x v="2"/>
    <x v="4"/>
    <n v="17"/>
    <n v="481"/>
    <n v="5"/>
    <s v="Bob"/>
    <n v="8177"/>
  </r>
  <r>
    <x v="72"/>
    <x v="2"/>
    <x v="1"/>
    <n v="16"/>
    <n v="319"/>
    <n v="15"/>
    <s v="Diana"/>
    <n v="5104"/>
  </r>
  <r>
    <x v="73"/>
    <x v="1"/>
    <x v="8"/>
    <n v="20"/>
    <n v="148"/>
    <n v="5"/>
    <s v="Alice"/>
    <n v="2960"/>
  </r>
  <r>
    <x v="74"/>
    <x v="0"/>
    <x v="7"/>
    <n v="2"/>
    <n v="178"/>
    <n v="15"/>
    <s v="Diana"/>
    <n v="356"/>
  </r>
  <r>
    <x v="75"/>
    <x v="3"/>
    <x v="1"/>
    <n v="20"/>
    <n v="323"/>
    <n v="0"/>
    <s v="Charlie"/>
    <n v="6460"/>
  </r>
  <r>
    <x v="76"/>
    <x v="0"/>
    <x v="0"/>
    <n v="12"/>
    <n v="9"/>
    <n v="15"/>
    <s v="Charlie"/>
    <n v="108"/>
  </r>
  <r>
    <x v="77"/>
    <x v="2"/>
    <x v="3"/>
    <n v="6"/>
    <n v="254"/>
    <n v="15"/>
    <s v="Diana"/>
    <n v="1524"/>
  </r>
  <r>
    <x v="78"/>
    <x v="1"/>
    <x v="4"/>
    <n v="13"/>
    <n v="591"/>
    <n v="10"/>
    <s v="Alice"/>
    <n v="7683"/>
  </r>
  <r>
    <x v="79"/>
    <x v="0"/>
    <x v="5"/>
    <n v="10"/>
    <n v="7"/>
    <n v="5"/>
    <s v="Alice"/>
    <n v="70"/>
  </r>
  <r>
    <x v="80"/>
    <x v="2"/>
    <x v="0"/>
    <n v="18"/>
    <n v="10"/>
    <n v="15"/>
    <s v="Alice"/>
    <n v="180"/>
  </r>
  <r>
    <x v="81"/>
    <x v="0"/>
    <x v="1"/>
    <n v="11"/>
    <n v="301"/>
    <n v="15"/>
    <s v="Charlie"/>
    <n v="3311"/>
  </r>
  <r>
    <x v="82"/>
    <x v="2"/>
    <x v="7"/>
    <n v="17"/>
    <n v="101"/>
    <n v="5"/>
    <s v="Bob"/>
    <n v="1717"/>
  </r>
  <r>
    <x v="83"/>
    <x v="3"/>
    <x v="4"/>
    <n v="1"/>
    <n v="494"/>
    <n v="10"/>
    <s v="Bob"/>
    <n v="494"/>
  </r>
  <r>
    <x v="84"/>
    <x v="3"/>
    <x v="7"/>
    <n v="16"/>
    <n v="91"/>
    <n v="5"/>
    <s v="Alice"/>
    <n v="1456"/>
  </r>
  <r>
    <x v="85"/>
    <x v="0"/>
    <x v="3"/>
    <n v="10"/>
    <n v="339"/>
    <n v="15"/>
    <s v="Diana"/>
    <n v="3390"/>
  </r>
  <r>
    <x v="86"/>
    <x v="2"/>
    <x v="4"/>
    <n v="9"/>
    <n v="619"/>
    <n v="0"/>
    <s v="Diana"/>
    <n v="5571"/>
  </r>
  <r>
    <x v="87"/>
    <x v="3"/>
    <x v="1"/>
    <n v="16"/>
    <n v="196"/>
    <n v="15"/>
    <s v="Diana"/>
    <n v="3136"/>
  </r>
  <r>
    <x v="88"/>
    <x v="2"/>
    <x v="6"/>
    <n v="8"/>
    <n v="184"/>
    <n v="5"/>
    <s v="Charlie"/>
    <n v="1472"/>
  </r>
  <r>
    <x v="89"/>
    <x v="0"/>
    <x v="1"/>
    <n v="3"/>
    <n v="287"/>
    <n v="5"/>
    <s v="Bob"/>
    <n v="861"/>
  </r>
  <r>
    <x v="90"/>
    <x v="2"/>
    <x v="1"/>
    <n v="11"/>
    <n v="496"/>
    <n v="0"/>
    <s v="Bob"/>
    <n v="5456"/>
  </r>
  <r>
    <x v="91"/>
    <x v="1"/>
    <x v="8"/>
    <n v="3"/>
    <n v="303"/>
    <n v="5"/>
    <s v="Charlie"/>
    <n v="909"/>
  </r>
  <r>
    <x v="92"/>
    <x v="1"/>
    <x v="6"/>
    <n v="16"/>
    <n v="85"/>
    <n v="15"/>
    <s v="Bob"/>
    <n v="1360"/>
  </r>
  <r>
    <x v="93"/>
    <x v="0"/>
    <x v="9"/>
    <n v="17"/>
    <n v="21"/>
    <n v="0"/>
    <s v="Bob"/>
    <n v="357"/>
  </r>
  <r>
    <x v="94"/>
    <x v="0"/>
    <x v="2"/>
    <n v="13"/>
    <n v="1008"/>
    <n v="15"/>
    <s v="Diana"/>
    <n v="13104"/>
  </r>
  <r>
    <x v="95"/>
    <x v="1"/>
    <x v="9"/>
    <n v="10"/>
    <n v="44"/>
    <n v="15"/>
    <s v="Bob"/>
    <n v="440"/>
  </r>
  <r>
    <x v="96"/>
    <x v="3"/>
    <x v="2"/>
    <n v="19"/>
    <n v="1426"/>
    <n v="0"/>
    <s v="Charlie"/>
    <n v="27094"/>
  </r>
  <r>
    <x v="97"/>
    <x v="0"/>
    <x v="6"/>
    <n v="3"/>
    <n v="194"/>
    <n v="5"/>
    <s v="Alice"/>
    <n v="582"/>
  </r>
  <r>
    <x v="98"/>
    <x v="0"/>
    <x v="0"/>
    <n v="11"/>
    <n v="7"/>
    <n v="5"/>
    <s v="Charlie"/>
    <n v="77"/>
  </r>
  <r>
    <x v="99"/>
    <x v="0"/>
    <x v="9"/>
    <n v="16"/>
    <n v="135"/>
    <n v="5"/>
    <s v="Bob"/>
    <n v="2160"/>
  </r>
  <r>
    <x v="100"/>
    <x v="1"/>
    <x v="5"/>
    <n v="20"/>
    <n v="12"/>
    <n v="5"/>
    <s v="Charlie"/>
    <n v="240"/>
  </r>
  <r>
    <x v="101"/>
    <x v="2"/>
    <x v="7"/>
    <n v="1"/>
    <n v="221"/>
    <n v="0"/>
    <s v="Diana"/>
    <n v="221"/>
  </r>
  <r>
    <x v="102"/>
    <x v="2"/>
    <x v="0"/>
    <n v="13"/>
    <n v="9"/>
    <n v="0"/>
    <s v="Alice"/>
    <n v="117"/>
  </r>
  <r>
    <x v="103"/>
    <x v="3"/>
    <x v="5"/>
    <n v="15"/>
    <n v="12"/>
    <n v="0"/>
    <s v="Bob"/>
    <n v="180"/>
  </r>
  <r>
    <x v="104"/>
    <x v="2"/>
    <x v="3"/>
    <n v="5"/>
    <n v="397"/>
    <n v="15"/>
    <s v="Diana"/>
    <n v="1985"/>
  </r>
  <r>
    <x v="105"/>
    <x v="0"/>
    <x v="1"/>
    <n v="3"/>
    <n v="338"/>
    <n v="5"/>
    <s v="Diana"/>
    <n v="1014"/>
  </r>
  <r>
    <x v="106"/>
    <x v="3"/>
    <x v="5"/>
    <n v="8"/>
    <n v="10"/>
    <n v="5"/>
    <s v="Bob"/>
    <n v="80"/>
  </r>
  <r>
    <x v="107"/>
    <x v="3"/>
    <x v="5"/>
    <n v="20"/>
    <n v="14"/>
    <n v="10"/>
    <s v="Bob"/>
    <n v="280"/>
  </r>
  <r>
    <x v="108"/>
    <x v="0"/>
    <x v="8"/>
    <n v="11"/>
    <n v="396"/>
    <n v="10"/>
    <s v="Alice"/>
    <n v="4356"/>
  </r>
  <r>
    <x v="109"/>
    <x v="2"/>
    <x v="8"/>
    <n v="14"/>
    <n v="386"/>
    <n v="5"/>
    <s v="Alice"/>
    <n v="5404"/>
  </r>
  <r>
    <x v="110"/>
    <x v="3"/>
    <x v="9"/>
    <n v="16"/>
    <n v="101"/>
    <n v="5"/>
    <s v="Diana"/>
    <n v="1616"/>
  </r>
  <r>
    <x v="111"/>
    <x v="2"/>
    <x v="6"/>
    <n v="2"/>
    <n v="73"/>
    <n v="10"/>
    <s v="Alice"/>
    <n v="146"/>
  </r>
  <r>
    <x v="112"/>
    <x v="3"/>
    <x v="9"/>
    <n v="19"/>
    <n v="99"/>
    <n v="0"/>
    <s v="Diana"/>
    <n v="1881"/>
  </r>
  <r>
    <x v="113"/>
    <x v="1"/>
    <x v="0"/>
    <n v="18"/>
    <n v="7"/>
    <n v="0"/>
    <s v="Diana"/>
    <n v="126"/>
  </r>
  <r>
    <x v="114"/>
    <x v="1"/>
    <x v="7"/>
    <n v="15"/>
    <n v="185"/>
    <n v="15"/>
    <s v="Charlie"/>
    <n v="2775"/>
  </r>
  <r>
    <x v="115"/>
    <x v="3"/>
    <x v="8"/>
    <n v="2"/>
    <n v="200"/>
    <n v="10"/>
    <s v="Alice"/>
    <n v="400"/>
  </r>
  <r>
    <x v="116"/>
    <x v="0"/>
    <x v="8"/>
    <n v="5"/>
    <n v="358"/>
    <n v="15"/>
    <s v="Alice"/>
    <n v="1790"/>
  </r>
  <r>
    <x v="117"/>
    <x v="2"/>
    <x v="9"/>
    <n v="14"/>
    <n v="101"/>
    <n v="5"/>
    <s v="Bob"/>
    <n v="1414"/>
  </r>
  <r>
    <x v="118"/>
    <x v="0"/>
    <x v="8"/>
    <n v="7"/>
    <n v="331"/>
    <n v="15"/>
    <s v="Alice"/>
    <n v="2317"/>
  </r>
  <r>
    <x v="119"/>
    <x v="2"/>
    <x v="9"/>
    <n v="2"/>
    <n v="44"/>
    <n v="10"/>
    <s v="Bob"/>
    <n v="88"/>
  </r>
  <r>
    <x v="120"/>
    <x v="3"/>
    <x v="0"/>
    <n v="16"/>
    <n v="5"/>
    <n v="10"/>
    <s v="Diana"/>
    <n v="80"/>
  </r>
  <r>
    <x v="121"/>
    <x v="3"/>
    <x v="7"/>
    <n v="9"/>
    <n v="73"/>
    <n v="5"/>
    <s v="Alice"/>
    <n v="657"/>
  </r>
  <r>
    <x v="122"/>
    <x v="1"/>
    <x v="1"/>
    <n v="19"/>
    <n v="174"/>
    <n v="0"/>
    <s v="Diana"/>
    <n v="3306"/>
  </r>
  <r>
    <x v="123"/>
    <x v="0"/>
    <x v="0"/>
    <n v="17"/>
    <n v="8"/>
    <n v="10"/>
    <s v="Diana"/>
    <n v="136"/>
  </r>
  <r>
    <x v="124"/>
    <x v="3"/>
    <x v="1"/>
    <n v="11"/>
    <n v="235"/>
    <n v="15"/>
    <s v="Charlie"/>
    <n v="2585"/>
  </r>
  <r>
    <x v="125"/>
    <x v="1"/>
    <x v="2"/>
    <n v="10"/>
    <n v="1220"/>
    <n v="0"/>
    <s v="Bob"/>
    <n v="12200"/>
  </r>
  <r>
    <x v="126"/>
    <x v="3"/>
    <x v="1"/>
    <n v="14"/>
    <n v="361"/>
    <n v="10"/>
    <s v="Bob"/>
    <n v="5054"/>
  </r>
  <r>
    <x v="127"/>
    <x v="0"/>
    <x v="6"/>
    <n v="8"/>
    <n v="226"/>
    <n v="0"/>
    <s v="Diana"/>
    <n v="1808"/>
  </r>
  <r>
    <x v="128"/>
    <x v="1"/>
    <x v="6"/>
    <n v="20"/>
    <n v="290"/>
    <n v="5"/>
    <s v="Charlie"/>
    <n v="5800"/>
  </r>
  <r>
    <x v="129"/>
    <x v="1"/>
    <x v="3"/>
    <n v="4"/>
    <n v="220"/>
    <n v="5"/>
    <s v="Bob"/>
    <n v="880"/>
  </r>
  <r>
    <x v="130"/>
    <x v="0"/>
    <x v="9"/>
    <n v="13"/>
    <n v="96"/>
    <n v="0"/>
    <s v="Charlie"/>
    <n v="1248"/>
  </r>
  <r>
    <x v="131"/>
    <x v="2"/>
    <x v="9"/>
    <n v="6"/>
    <n v="81"/>
    <n v="0"/>
    <s v="Diana"/>
    <n v="486"/>
  </r>
  <r>
    <x v="132"/>
    <x v="3"/>
    <x v="0"/>
    <n v="6"/>
    <n v="8"/>
    <n v="10"/>
    <s v="Bob"/>
    <n v="48"/>
  </r>
  <r>
    <x v="133"/>
    <x v="2"/>
    <x v="2"/>
    <n v="3"/>
    <n v="814"/>
    <n v="0"/>
    <s v="Diana"/>
    <n v="2442"/>
  </r>
  <r>
    <x v="134"/>
    <x v="2"/>
    <x v="3"/>
    <n v="2"/>
    <n v="205"/>
    <n v="10"/>
    <s v="Alice"/>
    <n v="410"/>
  </r>
  <r>
    <x v="135"/>
    <x v="1"/>
    <x v="4"/>
    <n v="20"/>
    <n v="825"/>
    <n v="10"/>
    <s v="Alice"/>
    <n v="16500"/>
  </r>
  <r>
    <x v="136"/>
    <x v="2"/>
    <x v="2"/>
    <n v="12"/>
    <n v="895"/>
    <n v="15"/>
    <s v="Bob"/>
    <n v="10740"/>
  </r>
  <r>
    <x v="137"/>
    <x v="2"/>
    <x v="5"/>
    <n v="11"/>
    <n v="15"/>
    <n v="10"/>
    <s v="Bob"/>
    <n v="165"/>
  </r>
  <r>
    <x v="138"/>
    <x v="3"/>
    <x v="0"/>
    <n v="4"/>
    <n v="7"/>
    <n v="10"/>
    <s v="Alice"/>
    <n v="28"/>
  </r>
  <r>
    <x v="139"/>
    <x v="0"/>
    <x v="5"/>
    <n v="20"/>
    <n v="2"/>
    <n v="0"/>
    <s v="Bob"/>
    <n v="40"/>
  </r>
  <r>
    <x v="140"/>
    <x v="1"/>
    <x v="9"/>
    <n v="16"/>
    <n v="78"/>
    <n v="10"/>
    <s v="Charlie"/>
    <n v="1248"/>
  </r>
  <r>
    <x v="141"/>
    <x v="1"/>
    <x v="5"/>
    <n v="19"/>
    <n v="8"/>
    <n v="10"/>
    <s v="Bob"/>
    <n v="152"/>
  </r>
  <r>
    <x v="142"/>
    <x v="2"/>
    <x v="7"/>
    <n v="9"/>
    <n v="50"/>
    <n v="5"/>
    <s v="Diana"/>
    <n v="450"/>
  </r>
  <r>
    <x v="143"/>
    <x v="0"/>
    <x v="5"/>
    <n v="6"/>
    <n v="6"/>
    <n v="15"/>
    <s v="Alice"/>
    <n v="36"/>
  </r>
  <r>
    <x v="144"/>
    <x v="1"/>
    <x v="4"/>
    <n v="15"/>
    <n v="577"/>
    <n v="0"/>
    <s v="Charlie"/>
    <n v="8655"/>
  </r>
  <r>
    <x v="145"/>
    <x v="0"/>
    <x v="1"/>
    <n v="8"/>
    <n v="444"/>
    <n v="15"/>
    <s v="Bob"/>
    <n v="3552"/>
  </r>
  <r>
    <x v="146"/>
    <x v="0"/>
    <x v="7"/>
    <n v="2"/>
    <n v="222"/>
    <n v="10"/>
    <s v="Charlie"/>
    <n v="444"/>
  </r>
  <r>
    <x v="147"/>
    <x v="0"/>
    <x v="4"/>
    <n v="10"/>
    <n v="463"/>
    <n v="10"/>
    <s v="Bob"/>
    <n v="4630"/>
  </r>
  <r>
    <x v="148"/>
    <x v="2"/>
    <x v="2"/>
    <n v="16"/>
    <n v="969"/>
    <n v="10"/>
    <s v="Bob"/>
    <n v="15504"/>
  </r>
  <r>
    <x v="149"/>
    <x v="2"/>
    <x v="0"/>
    <n v="20"/>
    <n v="8"/>
    <n v="0"/>
    <s v="Diana"/>
    <n v="160"/>
  </r>
  <r>
    <x v="150"/>
    <x v="2"/>
    <x v="7"/>
    <n v="7"/>
    <n v="185"/>
    <n v="0"/>
    <s v="Charlie"/>
    <n v="1295"/>
  </r>
  <r>
    <x v="151"/>
    <x v="2"/>
    <x v="4"/>
    <n v="9"/>
    <n v="810"/>
    <n v="5"/>
    <s v="Alice"/>
    <n v="7290"/>
  </r>
  <r>
    <x v="152"/>
    <x v="1"/>
    <x v="7"/>
    <n v="2"/>
    <n v="238"/>
    <n v="10"/>
    <s v="Charlie"/>
    <n v="476"/>
  </r>
  <r>
    <x v="153"/>
    <x v="3"/>
    <x v="4"/>
    <n v="15"/>
    <n v="663"/>
    <n v="15"/>
    <s v="Alice"/>
    <n v="9945"/>
  </r>
  <r>
    <x v="154"/>
    <x v="0"/>
    <x v="1"/>
    <n v="14"/>
    <n v="482"/>
    <n v="5"/>
    <s v="Diana"/>
    <n v="6748"/>
  </r>
  <r>
    <x v="155"/>
    <x v="2"/>
    <x v="3"/>
    <n v="4"/>
    <n v="198"/>
    <n v="10"/>
    <s v="Bob"/>
    <n v="792"/>
  </r>
  <r>
    <x v="156"/>
    <x v="1"/>
    <x v="4"/>
    <n v="4"/>
    <n v="994"/>
    <n v="15"/>
    <s v="Alice"/>
    <n v="3976"/>
  </r>
  <r>
    <x v="157"/>
    <x v="1"/>
    <x v="8"/>
    <n v="12"/>
    <n v="154"/>
    <n v="0"/>
    <s v="Charlie"/>
    <n v="1848"/>
  </r>
  <r>
    <x v="158"/>
    <x v="1"/>
    <x v="0"/>
    <n v="4"/>
    <n v="4"/>
    <n v="0"/>
    <s v="Bob"/>
    <n v="16"/>
  </r>
  <r>
    <x v="159"/>
    <x v="2"/>
    <x v="4"/>
    <n v="3"/>
    <n v="997"/>
    <n v="5"/>
    <s v="Charlie"/>
    <n v="2991"/>
  </r>
  <r>
    <x v="160"/>
    <x v="1"/>
    <x v="8"/>
    <n v="8"/>
    <n v="352"/>
    <n v="5"/>
    <s v="Diana"/>
    <n v="2816"/>
  </r>
  <r>
    <x v="161"/>
    <x v="1"/>
    <x v="1"/>
    <n v="4"/>
    <n v="309"/>
    <n v="10"/>
    <s v="Charlie"/>
    <n v="1236"/>
  </r>
  <r>
    <x v="162"/>
    <x v="3"/>
    <x v="6"/>
    <n v="11"/>
    <n v="52"/>
    <n v="5"/>
    <s v="Alice"/>
    <n v="572"/>
  </r>
  <r>
    <x v="163"/>
    <x v="3"/>
    <x v="6"/>
    <n v="4"/>
    <n v="260"/>
    <n v="0"/>
    <s v="Bob"/>
    <n v="1040"/>
  </r>
  <r>
    <x v="164"/>
    <x v="0"/>
    <x v="9"/>
    <n v="11"/>
    <n v="33"/>
    <n v="15"/>
    <s v="Bob"/>
    <n v="363"/>
  </r>
  <r>
    <x v="165"/>
    <x v="1"/>
    <x v="9"/>
    <n v="12"/>
    <n v="87"/>
    <n v="10"/>
    <s v="Bob"/>
    <n v="1044"/>
  </r>
  <r>
    <x v="166"/>
    <x v="0"/>
    <x v="2"/>
    <n v="12"/>
    <n v="890"/>
    <n v="10"/>
    <s v="Bob"/>
    <n v="10680"/>
  </r>
  <r>
    <x v="167"/>
    <x v="1"/>
    <x v="9"/>
    <n v="13"/>
    <n v="22"/>
    <n v="10"/>
    <s v="Diana"/>
    <n v="286"/>
  </r>
  <r>
    <x v="168"/>
    <x v="0"/>
    <x v="4"/>
    <n v="15"/>
    <n v="449"/>
    <n v="0"/>
    <s v="Alice"/>
    <n v="6735"/>
  </r>
  <r>
    <x v="169"/>
    <x v="1"/>
    <x v="6"/>
    <n v="18"/>
    <n v="213"/>
    <n v="10"/>
    <s v="Bob"/>
    <n v="3834"/>
  </r>
  <r>
    <x v="170"/>
    <x v="3"/>
    <x v="7"/>
    <n v="2"/>
    <n v="210"/>
    <n v="10"/>
    <s v="Charlie"/>
    <n v="420"/>
  </r>
  <r>
    <x v="171"/>
    <x v="1"/>
    <x v="5"/>
    <n v="7"/>
    <n v="5"/>
    <n v="10"/>
    <s v="Diana"/>
    <n v="35"/>
  </r>
  <r>
    <x v="172"/>
    <x v="3"/>
    <x v="9"/>
    <n v="3"/>
    <n v="39"/>
    <n v="10"/>
    <s v="Bob"/>
    <n v="117"/>
  </r>
  <r>
    <x v="173"/>
    <x v="1"/>
    <x v="7"/>
    <n v="17"/>
    <n v="299"/>
    <n v="10"/>
    <s v="Charlie"/>
    <n v="5083"/>
  </r>
  <r>
    <x v="174"/>
    <x v="1"/>
    <x v="6"/>
    <n v="20"/>
    <n v="140"/>
    <n v="10"/>
    <s v="Diana"/>
    <n v="2800"/>
  </r>
  <r>
    <x v="175"/>
    <x v="2"/>
    <x v="8"/>
    <n v="4"/>
    <n v="159"/>
    <n v="5"/>
    <s v="Alice"/>
    <n v="636"/>
  </r>
  <r>
    <x v="176"/>
    <x v="3"/>
    <x v="8"/>
    <n v="18"/>
    <n v="110"/>
    <n v="10"/>
    <s v="Diana"/>
    <n v="1980"/>
  </r>
  <r>
    <x v="177"/>
    <x v="3"/>
    <x v="4"/>
    <n v="14"/>
    <n v="589"/>
    <n v="10"/>
    <s v="Charlie"/>
    <n v="8246"/>
  </r>
  <r>
    <x v="178"/>
    <x v="3"/>
    <x v="8"/>
    <n v="13"/>
    <n v="219"/>
    <n v="10"/>
    <s v="Bob"/>
    <n v="2847"/>
  </r>
  <r>
    <x v="179"/>
    <x v="1"/>
    <x v="4"/>
    <n v="4"/>
    <n v="573"/>
    <n v="10"/>
    <s v="Bob"/>
    <n v="2292"/>
  </r>
  <r>
    <x v="180"/>
    <x v="2"/>
    <x v="1"/>
    <n v="16"/>
    <n v="161"/>
    <n v="15"/>
    <s v="Bob"/>
    <n v="2576"/>
  </r>
  <r>
    <x v="181"/>
    <x v="2"/>
    <x v="5"/>
    <n v="9"/>
    <n v="7"/>
    <n v="0"/>
    <s v="Charlie"/>
    <n v="63"/>
  </r>
  <r>
    <x v="182"/>
    <x v="2"/>
    <x v="2"/>
    <n v="16"/>
    <n v="1034"/>
    <n v="0"/>
    <s v="Charlie"/>
    <n v="16544"/>
  </r>
  <r>
    <x v="183"/>
    <x v="1"/>
    <x v="9"/>
    <n v="5"/>
    <n v="22"/>
    <n v="10"/>
    <s v="Alice"/>
    <n v="110"/>
  </r>
  <r>
    <x v="184"/>
    <x v="1"/>
    <x v="4"/>
    <n v="11"/>
    <n v="861"/>
    <n v="0"/>
    <s v="Alice"/>
    <n v="9471"/>
  </r>
  <r>
    <x v="185"/>
    <x v="3"/>
    <x v="1"/>
    <n v="2"/>
    <n v="194"/>
    <n v="5"/>
    <s v="Diana"/>
    <n v="388"/>
  </r>
  <r>
    <x v="186"/>
    <x v="0"/>
    <x v="2"/>
    <n v="10"/>
    <n v="979"/>
    <n v="15"/>
    <s v="Charlie"/>
    <n v="9790"/>
  </r>
  <r>
    <x v="187"/>
    <x v="0"/>
    <x v="3"/>
    <n v="18"/>
    <n v="475"/>
    <n v="5"/>
    <s v="Alice"/>
    <n v="8550"/>
  </r>
  <r>
    <x v="188"/>
    <x v="2"/>
    <x v="6"/>
    <n v="13"/>
    <n v="135"/>
    <n v="5"/>
    <s v="Alice"/>
    <n v="1755"/>
  </r>
  <r>
    <x v="189"/>
    <x v="0"/>
    <x v="6"/>
    <n v="6"/>
    <n v="193"/>
    <n v="15"/>
    <s v="Charlie"/>
    <n v="1158"/>
  </r>
  <r>
    <x v="190"/>
    <x v="2"/>
    <x v="9"/>
    <n v="7"/>
    <n v="80"/>
    <n v="5"/>
    <s v="Bob"/>
    <n v="560"/>
  </r>
  <r>
    <x v="191"/>
    <x v="1"/>
    <x v="9"/>
    <n v="20"/>
    <n v="102"/>
    <n v="10"/>
    <s v="Diana"/>
    <n v="2040"/>
  </r>
  <r>
    <x v="192"/>
    <x v="0"/>
    <x v="5"/>
    <n v="6"/>
    <n v="10"/>
    <n v="5"/>
    <s v="Charlie"/>
    <n v="60"/>
  </r>
  <r>
    <x v="193"/>
    <x v="1"/>
    <x v="0"/>
    <n v="7"/>
    <n v="3"/>
    <n v="10"/>
    <s v="Diana"/>
    <n v="21"/>
  </r>
  <r>
    <x v="194"/>
    <x v="3"/>
    <x v="0"/>
    <n v="2"/>
    <n v="2"/>
    <n v="5"/>
    <s v="Bob"/>
    <n v="4"/>
  </r>
  <r>
    <x v="195"/>
    <x v="3"/>
    <x v="5"/>
    <n v="18"/>
    <n v="2"/>
    <n v="0"/>
    <s v="Diana"/>
    <n v="36"/>
  </r>
  <r>
    <x v="196"/>
    <x v="1"/>
    <x v="4"/>
    <n v="2"/>
    <n v="666"/>
    <n v="15"/>
    <s v="Bob"/>
    <n v="1332"/>
  </r>
  <r>
    <x v="197"/>
    <x v="3"/>
    <x v="3"/>
    <n v="18"/>
    <n v="341"/>
    <n v="15"/>
    <s v="Charlie"/>
    <n v="6138"/>
  </r>
  <r>
    <x v="198"/>
    <x v="1"/>
    <x v="8"/>
    <n v="18"/>
    <n v="299"/>
    <n v="5"/>
    <s v="Alice"/>
    <n v="5382"/>
  </r>
  <r>
    <x v="199"/>
    <x v="3"/>
    <x v="8"/>
    <n v="6"/>
    <n v="308"/>
    <n v="0"/>
    <s v="Diana"/>
    <n v="1848"/>
  </r>
  <r>
    <x v="200"/>
    <x v="1"/>
    <x v="3"/>
    <n v="6"/>
    <n v="411"/>
    <n v="0"/>
    <s v="Alice"/>
    <n v="2466"/>
  </r>
  <r>
    <x v="201"/>
    <x v="0"/>
    <x v="9"/>
    <n v="4"/>
    <n v="98"/>
    <n v="0"/>
    <s v="Diana"/>
    <n v="392"/>
  </r>
  <r>
    <x v="202"/>
    <x v="2"/>
    <x v="8"/>
    <n v="1"/>
    <n v="154"/>
    <n v="5"/>
    <s v="Bob"/>
    <n v="154"/>
  </r>
  <r>
    <x v="203"/>
    <x v="3"/>
    <x v="3"/>
    <n v="19"/>
    <n v="409"/>
    <n v="10"/>
    <s v="Charlie"/>
    <n v="7771"/>
  </r>
  <r>
    <x v="204"/>
    <x v="0"/>
    <x v="6"/>
    <n v="13"/>
    <n v="249"/>
    <n v="0"/>
    <s v="Charlie"/>
    <n v="3237"/>
  </r>
  <r>
    <x v="205"/>
    <x v="2"/>
    <x v="0"/>
    <n v="2"/>
    <n v="2"/>
    <n v="5"/>
    <s v="Diana"/>
    <n v="4"/>
  </r>
  <r>
    <x v="206"/>
    <x v="3"/>
    <x v="5"/>
    <n v="5"/>
    <n v="11"/>
    <n v="0"/>
    <s v="Charlie"/>
    <n v="55"/>
  </r>
  <r>
    <x v="207"/>
    <x v="0"/>
    <x v="0"/>
    <n v="17"/>
    <n v="3"/>
    <n v="10"/>
    <s v="Alice"/>
    <n v="51"/>
  </r>
  <r>
    <x v="208"/>
    <x v="1"/>
    <x v="4"/>
    <n v="3"/>
    <n v="597"/>
    <n v="10"/>
    <s v="Bob"/>
    <n v="1791"/>
  </r>
  <r>
    <x v="209"/>
    <x v="1"/>
    <x v="9"/>
    <n v="2"/>
    <n v="64"/>
    <n v="0"/>
    <s v="Charlie"/>
    <n v="128"/>
  </r>
  <r>
    <x v="210"/>
    <x v="2"/>
    <x v="2"/>
    <n v="3"/>
    <n v="1272"/>
    <n v="10"/>
    <s v="Alice"/>
    <n v="3816"/>
  </r>
  <r>
    <x v="211"/>
    <x v="3"/>
    <x v="7"/>
    <n v="1"/>
    <n v="278"/>
    <n v="15"/>
    <s v="Charlie"/>
    <n v="278"/>
  </r>
  <r>
    <x v="212"/>
    <x v="1"/>
    <x v="9"/>
    <n v="6"/>
    <n v="121"/>
    <n v="0"/>
    <s v="Alice"/>
    <n v="726"/>
  </r>
  <r>
    <x v="213"/>
    <x v="0"/>
    <x v="9"/>
    <n v="16"/>
    <n v="137"/>
    <n v="15"/>
    <s v="Alice"/>
    <n v="2192"/>
  </r>
  <r>
    <x v="214"/>
    <x v="3"/>
    <x v="8"/>
    <n v="11"/>
    <n v="247"/>
    <n v="15"/>
    <s v="Diana"/>
    <n v="2717"/>
  </r>
  <r>
    <x v="215"/>
    <x v="0"/>
    <x v="8"/>
    <n v="3"/>
    <n v="220"/>
    <n v="5"/>
    <s v="Diana"/>
    <n v="660"/>
  </r>
  <r>
    <x v="216"/>
    <x v="0"/>
    <x v="4"/>
    <n v="6"/>
    <n v="802"/>
    <n v="0"/>
    <s v="Charlie"/>
    <n v="4812"/>
  </r>
  <r>
    <x v="217"/>
    <x v="2"/>
    <x v="6"/>
    <n v="20"/>
    <n v="162"/>
    <n v="0"/>
    <s v="Bob"/>
    <n v="3240"/>
  </r>
  <r>
    <x v="218"/>
    <x v="2"/>
    <x v="8"/>
    <n v="17"/>
    <n v="195"/>
    <n v="10"/>
    <s v="Alice"/>
    <n v="3315"/>
  </r>
  <r>
    <x v="219"/>
    <x v="3"/>
    <x v="8"/>
    <n v="17"/>
    <n v="332"/>
    <n v="5"/>
    <s v="Diana"/>
    <n v="5644"/>
  </r>
  <r>
    <x v="220"/>
    <x v="1"/>
    <x v="0"/>
    <n v="7"/>
    <n v="10"/>
    <n v="10"/>
    <s v="Alice"/>
    <n v="70"/>
  </r>
  <r>
    <x v="221"/>
    <x v="2"/>
    <x v="3"/>
    <n v="18"/>
    <n v="414"/>
    <n v="15"/>
    <s v="Charlie"/>
    <n v="7452"/>
  </r>
  <r>
    <x v="222"/>
    <x v="2"/>
    <x v="5"/>
    <n v="10"/>
    <n v="9"/>
    <n v="10"/>
    <s v="Bob"/>
    <n v="90"/>
  </r>
  <r>
    <x v="223"/>
    <x v="2"/>
    <x v="5"/>
    <n v="2"/>
    <n v="7"/>
    <n v="15"/>
    <s v="Diana"/>
    <n v="14"/>
  </r>
  <r>
    <x v="224"/>
    <x v="0"/>
    <x v="8"/>
    <n v="13"/>
    <n v="201"/>
    <n v="5"/>
    <s v="Charlie"/>
    <n v="2613"/>
  </r>
  <r>
    <x v="225"/>
    <x v="3"/>
    <x v="3"/>
    <n v="7"/>
    <n v="102"/>
    <n v="15"/>
    <s v="Alice"/>
    <n v="714"/>
  </r>
  <r>
    <x v="226"/>
    <x v="2"/>
    <x v="3"/>
    <n v="4"/>
    <n v="224"/>
    <n v="10"/>
    <s v="Diana"/>
    <n v="896"/>
  </r>
  <r>
    <x v="227"/>
    <x v="2"/>
    <x v="2"/>
    <n v="5"/>
    <n v="1346"/>
    <n v="15"/>
    <s v="Charlie"/>
    <n v="6730"/>
  </r>
  <r>
    <x v="228"/>
    <x v="1"/>
    <x v="6"/>
    <n v="13"/>
    <n v="114"/>
    <n v="15"/>
    <s v="Alice"/>
    <n v="1482"/>
  </r>
  <r>
    <x v="229"/>
    <x v="0"/>
    <x v="5"/>
    <n v="10"/>
    <n v="6"/>
    <n v="10"/>
    <s v="Charlie"/>
    <n v="60"/>
  </r>
  <r>
    <x v="230"/>
    <x v="0"/>
    <x v="0"/>
    <n v="12"/>
    <n v="9"/>
    <n v="0"/>
    <s v="Alice"/>
    <n v="108"/>
  </r>
  <r>
    <x v="231"/>
    <x v="2"/>
    <x v="0"/>
    <n v="20"/>
    <n v="3"/>
    <n v="15"/>
    <s v="Charlie"/>
    <n v="60"/>
  </r>
  <r>
    <x v="232"/>
    <x v="0"/>
    <x v="4"/>
    <n v="18"/>
    <n v="965"/>
    <n v="0"/>
    <s v="Alice"/>
    <n v="17370"/>
  </r>
  <r>
    <x v="233"/>
    <x v="0"/>
    <x v="9"/>
    <n v="20"/>
    <n v="100"/>
    <n v="0"/>
    <s v="Alice"/>
    <n v="2000"/>
  </r>
  <r>
    <x v="234"/>
    <x v="1"/>
    <x v="3"/>
    <n v="18"/>
    <n v="443"/>
    <n v="5"/>
    <s v="Charlie"/>
    <n v="7974"/>
  </r>
  <r>
    <x v="235"/>
    <x v="0"/>
    <x v="3"/>
    <n v="11"/>
    <n v="411"/>
    <n v="0"/>
    <s v="Diana"/>
    <n v="4521"/>
  </r>
  <r>
    <x v="236"/>
    <x v="0"/>
    <x v="4"/>
    <n v="5"/>
    <n v="473"/>
    <n v="5"/>
    <s v="Charlie"/>
    <n v="2365"/>
  </r>
  <r>
    <x v="237"/>
    <x v="2"/>
    <x v="4"/>
    <n v="5"/>
    <n v="938"/>
    <n v="10"/>
    <s v="Diana"/>
    <n v="4690"/>
  </r>
  <r>
    <x v="238"/>
    <x v="3"/>
    <x v="8"/>
    <n v="9"/>
    <n v="211"/>
    <n v="15"/>
    <s v="Alice"/>
    <n v="1899"/>
  </r>
  <r>
    <x v="239"/>
    <x v="1"/>
    <x v="4"/>
    <n v="19"/>
    <n v="663"/>
    <n v="10"/>
    <s v="Bob"/>
    <n v="12597"/>
  </r>
  <r>
    <x v="240"/>
    <x v="0"/>
    <x v="0"/>
    <n v="1"/>
    <n v="2"/>
    <n v="15"/>
    <s v="Diana"/>
    <n v="2"/>
  </r>
  <r>
    <x v="241"/>
    <x v="3"/>
    <x v="9"/>
    <n v="11"/>
    <n v="40"/>
    <n v="10"/>
    <s v="Charlie"/>
    <n v="440"/>
  </r>
  <r>
    <x v="242"/>
    <x v="1"/>
    <x v="6"/>
    <n v="20"/>
    <n v="246"/>
    <n v="5"/>
    <s v="Alice"/>
    <n v="4920"/>
  </r>
  <r>
    <x v="243"/>
    <x v="1"/>
    <x v="2"/>
    <n v="11"/>
    <n v="844"/>
    <n v="10"/>
    <s v="Charlie"/>
    <n v="9284"/>
  </r>
  <r>
    <x v="244"/>
    <x v="2"/>
    <x v="9"/>
    <n v="13"/>
    <n v="69"/>
    <n v="10"/>
    <s v="Charlie"/>
    <n v="897"/>
  </r>
  <r>
    <x v="245"/>
    <x v="3"/>
    <x v="6"/>
    <n v="17"/>
    <n v="200"/>
    <n v="15"/>
    <s v="Charlie"/>
    <n v="3400"/>
  </r>
  <r>
    <x v="246"/>
    <x v="0"/>
    <x v="0"/>
    <n v="4"/>
    <n v="9"/>
    <n v="10"/>
    <s v="Alice"/>
    <n v="36"/>
  </r>
  <r>
    <x v="247"/>
    <x v="3"/>
    <x v="9"/>
    <n v="9"/>
    <n v="94"/>
    <n v="15"/>
    <s v="Charlie"/>
    <n v="846"/>
  </r>
  <r>
    <x v="248"/>
    <x v="0"/>
    <x v="1"/>
    <n v="14"/>
    <n v="424"/>
    <n v="5"/>
    <s v="Bob"/>
    <n v="5936"/>
  </r>
  <r>
    <x v="249"/>
    <x v="2"/>
    <x v="6"/>
    <n v="19"/>
    <n v="249"/>
    <n v="10"/>
    <s v="Alice"/>
    <n v="4731"/>
  </r>
  <r>
    <x v="250"/>
    <x v="2"/>
    <x v="5"/>
    <n v="13"/>
    <n v="13"/>
    <n v="5"/>
    <s v="Diana"/>
    <n v="169"/>
  </r>
  <r>
    <x v="251"/>
    <x v="2"/>
    <x v="5"/>
    <n v="19"/>
    <n v="15"/>
    <n v="10"/>
    <s v="Charlie"/>
    <n v="285"/>
  </r>
  <r>
    <x v="252"/>
    <x v="0"/>
    <x v="7"/>
    <n v="6"/>
    <n v="61"/>
    <n v="10"/>
    <s v="Charlie"/>
    <n v="366"/>
  </r>
  <r>
    <x v="253"/>
    <x v="3"/>
    <x v="8"/>
    <n v="8"/>
    <n v="355"/>
    <n v="15"/>
    <s v="Diana"/>
    <n v="2840"/>
  </r>
  <r>
    <x v="254"/>
    <x v="2"/>
    <x v="6"/>
    <n v="11"/>
    <n v="237"/>
    <n v="0"/>
    <s v="Alice"/>
    <n v="2607"/>
  </r>
  <r>
    <x v="255"/>
    <x v="3"/>
    <x v="7"/>
    <n v="5"/>
    <n v="230"/>
    <n v="0"/>
    <s v="Alice"/>
    <n v="1150"/>
  </r>
  <r>
    <x v="256"/>
    <x v="0"/>
    <x v="8"/>
    <n v="4"/>
    <n v="353"/>
    <n v="5"/>
    <s v="Charlie"/>
    <n v="1412"/>
  </r>
  <r>
    <x v="257"/>
    <x v="3"/>
    <x v="8"/>
    <n v="1"/>
    <n v="271"/>
    <n v="0"/>
    <s v="Charlie"/>
    <n v="271"/>
  </r>
  <r>
    <x v="258"/>
    <x v="1"/>
    <x v="1"/>
    <n v="4"/>
    <n v="143"/>
    <n v="5"/>
    <s v="Charlie"/>
    <n v="572"/>
  </r>
  <r>
    <x v="259"/>
    <x v="1"/>
    <x v="4"/>
    <n v="15"/>
    <n v="858"/>
    <n v="10"/>
    <s v="Bob"/>
    <n v="12870"/>
  </r>
  <r>
    <x v="260"/>
    <x v="0"/>
    <x v="1"/>
    <n v="7"/>
    <n v="430"/>
    <n v="15"/>
    <s v="Diana"/>
    <n v="3010"/>
  </r>
  <r>
    <x v="261"/>
    <x v="3"/>
    <x v="0"/>
    <n v="16"/>
    <n v="3"/>
    <n v="15"/>
    <s v="Bob"/>
    <n v="48"/>
  </r>
  <r>
    <x v="262"/>
    <x v="0"/>
    <x v="0"/>
    <n v="17"/>
    <n v="7"/>
    <n v="15"/>
    <s v="Charlie"/>
    <n v="119"/>
  </r>
  <r>
    <x v="263"/>
    <x v="3"/>
    <x v="6"/>
    <n v="5"/>
    <n v="247"/>
    <n v="0"/>
    <s v="Charlie"/>
    <n v="1235"/>
  </r>
  <r>
    <x v="264"/>
    <x v="2"/>
    <x v="1"/>
    <n v="6"/>
    <n v="401"/>
    <n v="15"/>
    <s v="Charlie"/>
    <n v="2406"/>
  </r>
  <r>
    <x v="265"/>
    <x v="3"/>
    <x v="6"/>
    <n v="15"/>
    <n v="167"/>
    <n v="15"/>
    <s v="Diana"/>
    <n v="2505"/>
  </r>
  <r>
    <x v="266"/>
    <x v="1"/>
    <x v="9"/>
    <n v="16"/>
    <n v="27"/>
    <n v="10"/>
    <s v="Diana"/>
    <n v="432"/>
  </r>
  <r>
    <x v="267"/>
    <x v="3"/>
    <x v="1"/>
    <n v="5"/>
    <n v="439"/>
    <n v="10"/>
    <s v="Alice"/>
    <n v="2195"/>
  </r>
  <r>
    <x v="268"/>
    <x v="1"/>
    <x v="6"/>
    <n v="6"/>
    <n v="297"/>
    <n v="5"/>
    <s v="Alice"/>
    <n v="1782"/>
  </r>
  <r>
    <x v="269"/>
    <x v="0"/>
    <x v="3"/>
    <n v="3"/>
    <n v="242"/>
    <n v="15"/>
    <s v="Charlie"/>
    <n v="726"/>
  </r>
  <r>
    <x v="270"/>
    <x v="2"/>
    <x v="2"/>
    <n v="6"/>
    <n v="818"/>
    <n v="15"/>
    <s v="Diana"/>
    <n v="4908"/>
  </r>
  <r>
    <x v="271"/>
    <x v="0"/>
    <x v="0"/>
    <n v="15"/>
    <n v="2"/>
    <n v="5"/>
    <s v="Diana"/>
    <n v="30"/>
  </r>
  <r>
    <x v="272"/>
    <x v="1"/>
    <x v="9"/>
    <n v="17"/>
    <n v="134"/>
    <n v="0"/>
    <s v="Alice"/>
    <n v="2278"/>
  </r>
  <r>
    <x v="273"/>
    <x v="1"/>
    <x v="9"/>
    <n v="7"/>
    <n v="32"/>
    <n v="15"/>
    <s v="Diana"/>
    <n v="224"/>
  </r>
  <r>
    <x v="274"/>
    <x v="0"/>
    <x v="4"/>
    <n v="10"/>
    <n v="450"/>
    <n v="10"/>
    <s v="Diana"/>
    <n v="4500"/>
  </r>
  <r>
    <x v="275"/>
    <x v="2"/>
    <x v="5"/>
    <n v="8"/>
    <n v="11"/>
    <n v="15"/>
    <s v="Charlie"/>
    <n v="88"/>
  </r>
  <r>
    <x v="276"/>
    <x v="3"/>
    <x v="1"/>
    <n v="6"/>
    <n v="153"/>
    <n v="10"/>
    <s v="Alice"/>
    <n v="918"/>
  </r>
  <r>
    <x v="277"/>
    <x v="3"/>
    <x v="1"/>
    <n v="12"/>
    <n v="226"/>
    <n v="10"/>
    <s v="Bob"/>
    <n v="2712"/>
  </r>
  <r>
    <x v="278"/>
    <x v="1"/>
    <x v="7"/>
    <n v="7"/>
    <n v="200"/>
    <n v="0"/>
    <s v="Diana"/>
    <n v="1400"/>
  </r>
  <r>
    <x v="279"/>
    <x v="3"/>
    <x v="2"/>
    <n v="4"/>
    <n v="928"/>
    <n v="5"/>
    <s v="Alice"/>
    <n v="3712"/>
  </r>
  <r>
    <x v="280"/>
    <x v="2"/>
    <x v="3"/>
    <n v="8"/>
    <n v="165"/>
    <n v="0"/>
    <s v="Charlie"/>
    <n v="1320"/>
  </r>
  <r>
    <x v="281"/>
    <x v="0"/>
    <x v="9"/>
    <n v="7"/>
    <n v="138"/>
    <n v="0"/>
    <s v="Charlie"/>
    <n v="966"/>
  </r>
  <r>
    <x v="282"/>
    <x v="0"/>
    <x v="1"/>
    <n v="7"/>
    <n v="452"/>
    <n v="0"/>
    <s v="Alice"/>
    <n v="3164"/>
  </r>
  <r>
    <x v="283"/>
    <x v="1"/>
    <x v="3"/>
    <n v="9"/>
    <n v="195"/>
    <n v="5"/>
    <s v="Bob"/>
    <n v="1755"/>
  </r>
  <r>
    <x v="284"/>
    <x v="0"/>
    <x v="4"/>
    <n v="3"/>
    <n v="410"/>
    <n v="10"/>
    <s v="Alice"/>
    <n v="1230"/>
  </r>
  <r>
    <x v="285"/>
    <x v="0"/>
    <x v="3"/>
    <n v="12"/>
    <n v="410"/>
    <n v="5"/>
    <s v="Alice"/>
    <n v="4920"/>
  </r>
  <r>
    <x v="286"/>
    <x v="1"/>
    <x v="8"/>
    <n v="19"/>
    <n v="209"/>
    <n v="10"/>
    <s v="Charlie"/>
    <n v="3971"/>
  </r>
  <r>
    <x v="287"/>
    <x v="2"/>
    <x v="3"/>
    <n v="12"/>
    <n v="249"/>
    <n v="10"/>
    <s v="Alice"/>
    <n v="2988"/>
  </r>
  <r>
    <x v="288"/>
    <x v="3"/>
    <x v="6"/>
    <n v="15"/>
    <n v="114"/>
    <n v="5"/>
    <s v="Bob"/>
    <n v="1710"/>
  </r>
  <r>
    <x v="289"/>
    <x v="3"/>
    <x v="9"/>
    <n v="19"/>
    <n v="49"/>
    <n v="0"/>
    <s v="Bob"/>
    <n v="931"/>
  </r>
  <r>
    <x v="290"/>
    <x v="3"/>
    <x v="8"/>
    <n v="12"/>
    <n v="343"/>
    <n v="10"/>
    <s v="Charlie"/>
    <n v="4116"/>
  </r>
  <r>
    <x v="291"/>
    <x v="3"/>
    <x v="7"/>
    <n v="12"/>
    <n v="57"/>
    <n v="10"/>
    <s v="Diana"/>
    <n v="684"/>
  </r>
  <r>
    <x v="292"/>
    <x v="1"/>
    <x v="6"/>
    <n v="15"/>
    <n v="106"/>
    <n v="10"/>
    <s v="Charlie"/>
    <n v="1590"/>
  </r>
  <r>
    <x v="293"/>
    <x v="2"/>
    <x v="0"/>
    <n v="1"/>
    <n v="8"/>
    <n v="0"/>
    <s v="Charlie"/>
    <n v="8"/>
  </r>
  <r>
    <x v="294"/>
    <x v="1"/>
    <x v="7"/>
    <n v="16"/>
    <n v="250"/>
    <n v="15"/>
    <s v="Charlie"/>
    <n v="4000"/>
  </r>
  <r>
    <x v="295"/>
    <x v="0"/>
    <x v="1"/>
    <n v="4"/>
    <n v="298"/>
    <n v="5"/>
    <s v="Bob"/>
    <n v="1192"/>
  </r>
  <r>
    <x v="296"/>
    <x v="0"/>
    <x v="8"/>
    <n v="19"/>
    <n v="158"/>
    <n v="15"/>
    <s v="Bob"/>
    <n v="3002"/>
  </r>
  <r>
    <x v="297"/>
    <x v="0"/>
    <x v="2"/>
    <n v="7"/>
    <n v="837"/>
    <n v="10"/>
    <s v="Alice"/>
    <n v="5859"/>
  </r>
  <r>
    <x v="298"/>
    <x v="2"/>
    <x v="2"/>
    <n v="2"/>
    <n v="1339"/>
    <n v="5"/>
    <s v="Diana"/>
    <n v="2678"/>
  </r>
  <r>
    <x v="299"/>
    <x v="1"/>
    <x v="8"/>
    <n v="2"/>
    <n v="373"/>
    <n v="15"/>
    <s v="Diana"/>
    <n v="746"/>
  </r>
  <r>
    <x v="300"/>
    <x v="2"/>
    <x v="2"/>
    <n v="20"/>
    <n v="1443"/>
    <n v="5"/>
    <s v="Charlie"/>
    <n v="28860"/>
  </r>
  <r>
    <x v="301"/>
    <x v="1"/>
    <x v="0"/>
    <n v="13"/>
    <n v="3"/>
    <n v="0"/>
    <s v="Charlie"/>
    <n v="39"/>
  </r>
  <r>
    <x v="302"/>
    <x v="1"/>
    <x v="7"/>
    <n v="3"/>
    <n v="95"/>
    <n v="10"/>
    <s v="Alice"/>
    <n v="285"/>
  </r>
  <r>
    <x v="303"/>
    <x v="1"/>
    <x v="4"/>
    <n v="15"/>
    <n v="481"/>
    <n v="10"/>
    <s v="Bob"/>
    <n v="7215"/>
  </r>
  <r>
    <x v="304"/>
    <x v="3"/>
    <x v="1"/>
    <n v="4"/>
    <n v="340"/>
    <n v="10"/>
    <s v="Alice"/>
    <n v="1360"/>
  </r>
  <r>
    <x v="305"/>
    <x v="1"/>
    <x v="1"/>
    <n v="19"/>
    <n v="295"/>
    <n v="15"/>
    <s v="Alice"/>
    <n v="5605"/>
  </r>
  <r>
    <x v="306"/>
    <x v="2"/>
    <x v="5"/>
    <n v="12"/>
    <n v="10"/>
    <n v="0"/>
    <s v="Bob"/>
    <n v="120"/>
  </r>
  <r>
    <x v="307"/>
    <x v="2"/>
    <x v="2"/>
    <n v="4"/>
    <n v="1011"/>
    <n v="15"/>
    <s v="Diana"/>
    <n v="4044"/>
  </r>
  <r>
    <x v="308"/>
    <x v="2"/>
    <x v="7"/>
    <n v="16"/>
    <n v="82"/>
    <n v="0"/>
    <s v="Diana"/>
    <n v="1312"/>
  </r>
  <r>
    <x v="309"/>
    <x v="1"/>
    <x v="6"/>
    <n v="16"/>
    <n v="202"/>
    <n v="15"/>
    <s v="Diana"/>
    <n v="3232"/>
  </r>
  <r>
    <x v="310"/>
    <x v="2"/>
    <x v="7"/>
    <n v="14"/>
    <n v="266"/>
    <n v="0"/>
    <s v="Charlie"/>
    <n v="3724"/>
  </r>
  <r>
    <x v="311"/>
    <x v="2"/>
    <x v="1"/>
    <n v="14"/>
    <n v="225"/>
    <n v="15"/>
    <s v="Charlie"/>
    <n v="3150"/>
  </r>
  <r>
    <x v="312"/>
    <x v="0"/>
    <x v="7"/>
    <n v="9"/>
    <n v="263"/>
    <n v="15"/>
    <s v="Charlie"/>
    <n v="2367"/>
  </r>
  <r>
    <x v="313"/>
    <x v="2"/>
    <x v="7"/>
    <n v="6"/>
    <n v="93"/>
    <n v="5"/>
    <s v="Bob"/>
    <n v="558"/>
  </r>
  <r>
    <x v="314"/>
    <x v="0"/>
    <x v="6"/>
    <n v="3"/>
    <n v="292"/>
    <n v="10"/>
    <s v="Diana"/>
    <n v="876"/>
  </r>
  <r>
    <x v="315"/>
    <x v="2"/>
    <x v="0"/>
    <n v="11"/>
    <n v="9"/>
    <n v="15"/>
    <s v="Charlie"/>
    <n v="99"/>
  </r>
  <r>
    <x v="316"/>
    <x v="1"/>
    <x v="2"/>
    <n v="1"/>
    <n v="1234"/>
    <n v="10"/>
    <s v="Charlie"/>
    <n v="1234"/>
  </r>
  <r>
    <x v="317"/>
    <x v="2"/>
    <x v="1"/>
    <n v="4"/>
    <n v="337"/>
    <n v="5"/>
    <s v="Alice"/>
    <n v="1348"/>
  </r>
  <r>
    <x v="318"/>
    <x v="2"/>
    <x v="0"/>
    <n v="6"/>
    <n v="2"/>
    <n v="10"/>
    <s v="Bob"/>
    <n v="12"/>
  </r>
  <r>
    <x v="319"/>
    <x v="1"/>
    <x v="8"/>
    <n v="4"/>
    <n v="226"/>
    <n v="15"/>
    <s v="Diana"/>
    <n v="904"/>
  </r>
  <r>
    <x v="320"/>
    <x v="2"/>
    <x v="9"/>
    <n v="18"/>
    <n v="114"/>
    <n v="15"/>
    <s v="Diana"/>
    <n v="2052"/>
  </r>
  <r>
    <x v="321"/>
    <x v="3"/>
    <x v="3"/>
    <n v="1"/>
    <n v="105"/>
    <n v="15"/>
    <s v="Alice"/>
    <n v="105"/>
  </r>
  <r>
    <x v="322"/>
    <x v="1"/>
    <x v="5"/>
    <n v="13"/>
    <n v="13"/>
    <n v="10"/>
    <s v="Bob"/>
    <n v="169"/>
  </r>
  <r>
    <x v="323"/>
    <x v="3"/>
    <x v="8"/>
    <n v="18"/>
    <n v="301"/>
    <n v="15"/>
    <s v="Diana"/>
    <n v="5418"/>
  </r>
  <r>
    <x v="324"/>
    <x v="3"/>
    <x v="5"/>
    <n v="15"/>
    <n v="13"/>
    <n v="0"/>
    <s v="Charlie"/>
    <n v="195"/>
  </r>
  <r>
    <x v="325"/>
    <x v="1"/>
    <x v="0"/>
    <n v="8"/>
    <n v="10"/>
    <n v="0"/>
    <s v="Diana"/>
    <n v="80"/>
  </r>
  <r>
    <x v="326"/>
    <x v="2"/>
    <x v="1"/>
    <n v="14"/>
    <n v="178"/>
    <n v="5"/>
    <s v="Charlie"/>
    <n v="2492"/>
  </r>
  <r>
    <x v="327"/>
    <x v="2"/>
    <x v="4"/>
    <n v="3"/>
    <n v="421"/>
    <n v="10"/>
    <s v="Diana"/>
    <n v="1263"/>
  </r>
  <r>
    <x v="328"/>
    <x v="3"/>
    <x v="0"/>
    <n v="3"/>
    <n v="9"/>
    <n v="10"/>
    <s v="Charlie"/>
    <n v="27"/>
  </r>
  <r>
    <x v="329"/>
    <x v="0"/>
    <x v="8"/>
    <n v="18"/>
    <n v="308"/>
    <n v="10"/>
    <s v="Alice"/>
    <n v="5544"/>
  </r>
  <r>
    <x v="330"/>
    <x v="1"/>
    <x v="1"/>
    <n v="3"/>
    <n v="103"/>
    <n v="10"/>
    <s v="Bob"/>
    <n v="309"/>
  </r>
  <r>
    <x v="331"/>
    <x v="1"/>
    <x v="3"/>
    <n v="11"/>
    <n v="192"/>
    <n v="10"/>
    <s v="Diana"/>
    <n v="2112"/>
  </r>
  <r>
    <x v="332"/>
    <x v="3"/>
    <x v="6"/>
    <n v="19"/>
    <n v="284"/>
    <n v="5"/>
    <s v="Alice"/>
    <n v="5396"/>
  </r>
  <r>
    <x v="333"/>
    <x v="2"/>
    <x v="4"/>
    <n v="18"/>
    <n v="592"/>
    <n v="0"/>
    <s v="Charlie"/>
    <n v="10656"/>
  </r>
  <r>
    <x v="334"/>
    <x v="2"/>
    <x v="2"/>
    <n v="10"/>
    <n v="1197"/>
    <n v="5"/>
    <s v="Charlie"/>
    <n v="11970"/>
  </r>
  <r>
    <x v="335"/>
    <x v="3"/>
    <x v="8"/>
    <n v="11"/>
    <n v="223"/>
    <n v="5"/>
    <s v="Bob"/>
    <n v="2453"/>
  </r>
  <r>
    <x v="336"/>
    <x v="0"/>
    <x v="3"/>
    <n v="20"/>
    <n v="483"/>
    <n v="5"/>
    <s v="Diana"/>
    <n v="9660"/>
  </r>
  <r>
    <x v="337"/>
    <x v="2"/>
    <x v="3"/>
    <n v="6"/>
    <n v="125"/>
    <n v="10"/>
    <s v="Bob"/>
    <n v="750"/>
  </r>
  <r>
    <x v="338"/>
    <x v="3"/>
    <x v="2"/>
    <n v="11"/>
    <n v="1049"/>
    <n v="0"/>
    <s v="Charlie"/>
    <n v="11539"/>
  </r>
  <r>
    <x v="339"/>
    <x v="0"/>
    <x v="3"/>
    <n v="6"/>
    <n v="271"/>
    <n v="5"/>
    <s v="Charlie"/>
    <n v="1626"/>
  </r>
  <r>
    <x v="340"/>
    <x v="1"/>
    <x v="9"/>
    <n v="1"/>
    <n v="108"/>
    <n v="10"/>
    <s v="Diana"/>
    <n v="108"/>
  </r>
  <r>
    <x v="341"/>
    <x v="2"/>
    <x v="6"/>
    <n v="13"/>
    <n v="140"/>
    <n v="5"/>
    <s v="Bob"/>
    <n v="1820"/>
  </r>
  <r>
    <x v="342"/>
    <x v="0"/>
    <x v="4"/>
    <n v="16"/>
    <n v="575"/>
    <n v="10"/>
    <s v="Charlie"/>
    <n v="9200"/>
  </r>
  <r>
    <x v="343"/>
    <x v="1"/>
    <x v="2"/>
    <n v="16"/>
    <n v="889"/>
    <n v="10"/>
    <s v="Diana"/>
    <n v="14224"/>
  </r>
  <r>
    <x v="344"/>
    <x v="0"/>
    <x v="1"/>
    <n v="2"/>
    <n v="450"/>
    <n v="5"/>
    <s v="Bob"/>
    <n v="900"/>
  </r>
  <r>
    <x v="345"/>
    <x v="0"/>
    <x v="7"/>
    <n v="17"/>
    <n v="71"/>
    <n v="15"/>
    <s v="Charlie"/>
    <n v="1207"/>
  </r>
  <r>
    <x v="346"/>
    <x v="1"/>
    <x v="1"/>
    <n v="9"/>
    <n v="422"/>
    <n v="15"/>
    <s v="Bob"/>
    <n v="3798"/>
  </r>
  <r>
    <x v="347"/>
    <x v="2"/>
    <x v="1"/>
    <n v="6"/>
    <n v="104"/>
    <n v="15"/>
    <s v="Diana"/>
    <n v="624"/>
  </r>
  <r>
    <x v="348"/>
    <x v="0"/>
    <x v="0"/>
    <n v="5"/>
    <n v="7"/>
    <n v="15"/>
    <s v="Diana"/>
    <n v="35"/>
  </r>
  <r>
    <x v="349"/>
    <x v="3"/>
    <x v="3"/>
    <n v="18"/>
    <n v="500"/>
    <n v="5"/>
    <s v="Diana"/>
    <n v="9000"/>
  </r>
  <r>
    <x v="350"/>
    <x v="0"/>
    <x v="3"/>
    <n v="16"/>
    <n v="105"/>
    <n v="15"/>
    <s v="Bob"/>
    <n v="1680"/>
  </r>
  <r>
    <x v="351"/>
    <x v="1"/>
    <x v="1"/>
    <n v="6"/>
    <n v="136"/>
    <n v="15"/>
    <s v="Charlie"/>
    <n v="816"/>
  </r>
  <r>
    <x v="352"/>
    <x v="3"/>
    <x v="5"/>
    <n v="20"/>
    <n v="4"/>
    <n v="15"/>
    <s v="Charlie"/>
    <n v="80"/>
  </r>
  <r>
    <x v="353"/>
    <x v="0"/>
    <x v="6"/>
    <n v="8"/>
    <n v="102"/>
    <n v="15"/>
    <s v="Bob"/>
    <n v="816"/>
  </r>
  <r>
    <x v="354"/>
    <x v="0"/>
    <x v="0"/>
    <n v="6"/>
    <n v="9"/>
    <n v="0"/>
    <s v="Alice"/>
    <n v="54"/>
  </r>
  <r>
    <x v="355"/>
    <x v="1"/>
    <x v="2"/>
    <n v="5"/>
    <n v="1204"/>
    <n v="5"/>
    <s v="Charlie"/>
    <n v="6020"/>
  </r>
  <r>
    <x v="356"/>
    <x v="1"/>
    <x v="9"/>
    <n v="20"/>
    <n v="26"/>
    <n v="5"/>
    <s v="Charlie"/>
    <n v="520"/>
  </r>
  <r>
    <x v="357"/>
    <x v="3"/>
    <x v="8"/>
    <n v="5"/>
    <n v="354"/>
    <n v="5"/>
    <s v="Bob"/>
    <n v="1770"/>
  </r>
  <r>
    <x v="358"/>
    <x v="0"/>
    <x v="6"/>
    <n v="7"/>
    <n v="206"/>
    <n v="0"/>
    <s v="Diana"/>
    <n v="1442"/>
  </r>
  <r>
    <x v="359"/>
    <x v="1"/>
    <x v="7"/>
    <n v="15"/>
    <n v="248"/>
    <n v="5"/>
    <s v="Charlie"/>
    <n v="3720"/>
  </r>
  <r>
    <x v="360"/>
    <x v="2"/>
    <x v="5"/>
    <n v="3"/>
    <n v="7"/>
    <n v="10"/>
    <s v="Diana"/>
    <n v="21"/>
  </r>
  <r>
    <x v="361"/>
    <x v="0"/>
    <x v="5"/>
    <n v="1"/>
    <n v="6"/>
    <n v="15"/>
    <s v="Charlie"/>
    <n v="6"/>
  </r>
  <r>
    <x v="362"/>
    <x v="2"/>
    <x v="3"/>
    <n v="12"/>
    <n v="150"/>
    <n v="15"/>
    <s v="Charlie"/>
    <n v="1800"/>
  </r>
  <r>
    <x v="363"/>
    <x v="1"/>
    <x v="7"/>
    <n v="3"/>
    <n v="182"/>
    <n v="5"/>
    <s v="Alice"/>
    <n v="546"/>
  </r>
  <r>
    <x v="364"/>
    <x v="0"/>
    <x v="7"/>
    <n v="1"/>
    <n v="172"/>
    <n v="10"/>
    <s v="Alice"/>
    <n v="172"/>
  </r>
  <r>
    <x v="365"/>
    <x v="0"/>
    <x v="7"/>
    <n v="20"/>
    <n v="167"/>
    <n v="0"/>
    <s v="Alice"/>
    <n v="3340"/>
  </r>
  <r>
    <x v="366"/>
    <x v="3"/>
    <x v="4"/>
    <n v="2"/>
    <n v="704"/>
    <n v="0"/>
    <s v="Diana"/>
    <n v="1408"/>
  </r>
  <r>
    <x v="367"/>
    <x v="3"/>
    <x v="1"/>
    <n v="6"/>
    <n v="234"/>
    <n v="10"/>
    <s v="Charlie"/>
    <n v="1404"/>
  </r>
  <r>
    <x v="368"/>
    <x v="1"/>
    <x v="1"/>
    <n v="18"/>
    <n v="469"/>
    <n v="15"/>
    <s v="Bob"/>
    <n v="8442"/>
  </r>
  <r>
    <x v="369"/>
    <x v="3"/>
    <x v="8"/>
    <n v="14"/>
    <n v="345"/>
    <n v="5"/>
    <s v="Charlie"/>
    <n v="4830"/>
  </r>
  <r>
    <x v="370"/>
    <x v="2"/>
    <x v="1"/>
    <n v="10"/>
    <n v="173"/>
    <n v="10"/>
    <s v="Charlie"/>
    <n v="1730"/>
  </r>
  <r>
    <x v="371"/>
    <x v="0"/>
    <x v="2"/>
    <n v="1"/>
    <n v="1445"/>
    <n v="10"/>
    <s v="Alice"/>
    <n v="1445"/>
  </r>
  <r>
    <x v="372"/>
    <x v="1"/>
    <x v="1"/>
    <n v="19"/>
    <n v="208"/>
    <n v="0"/>
    <s v="Alice"/>
    <n v="3952"/>
  </r>
  <r>
    <x v="373"/>
    <x v="0"/>
    <x v="3"/>
    <n v="16"/>
    <n v="278"/>
    <n v="5"/>
    <s v="Charlie"/>
    <n v="4448"/>
  </r>
  <r>
    <x v="374"/>
    <x v="3"/>
    <x v="9"/>
    <n v="19"/>
    <n v="77"/>
    <n v="15"/>
    <s v="Charlie"/>
    <n v="1463"/>
  </r>
  <r>
    <x v="375"/>
    <x v="1"/>
    <x v="6"/>
    <n v="20"/>
    <n v="291"/>
    <n v="10"/>
    <s v="Diana"/>
    <n v="5820"/>
  </r>
  <r>
    <x v="376"/>
    <x v="1"/>
    <x v="0"/>
    <n v="15"/>
    <n v="7"/>
    <n v="0"/>
    <s v="Alice"/>
    <n v="105"/>
  </r>
  <r>
    <x v="377"/>
    <x v="2"/>
    <x v="7"/>
    <n v="14"/>
    <n v="189"/>
    <n v="5"/>
    <s v="Charlie"/>
    <n v="2646"/>
  </r>
  <r>
    <x v="378"/>
    <x v="1"/>
    <x v="3"/>
    <n v="12"/>
    <n v="225"/>
    <n v="0"/>
    <s v="Charlie"/>
    <n v="2700"/>
  </r>
  <r>
    <x v="379"/>
    <x v="1"/>
    <x v="1"/>
    <n v="14"/>
    <n v="302"/>
    <n v="10"/>
    <s v="Charlie"/>
    <n v="4228"/>
  </r>
  <r>
    <x v="380"/>
    <x v="0"/>
    <x v="4"/>
    <n v="6"/>
    <n v="975"/>
    <n v="15"/>
    <s v="Bob"/>
    <n v="5850"/>
  </r>
  <r>
    <x v="381"/>
    <x v="2"/>
    <x v="1"/>
    <n v="18"/>
    <n v="259"/>
    <n v="0"/>
    <s v="Diana"/>
    <n v="4662"/>
  </r>
  <r>
    <x v="382"/>
    <x v="1"/>
    <x v="8"/>
    <n v="14"/>
    <n v="308"/>
    <n v="0"/>
    <s v="Charlie"/>
    <n v="4312"/>
  </r>
  <r>
    <x v="383"/>
    <x v="1"/>
    <x v="4"/>
    <n v="15"/>
    <n v="456"/>
    <n v="0"/>
    <s v="Alice"/>
    <n v="6840"/>
  </r>
  <r>
    <x v="384"/>
    <x v="2"/>
    <x v="4"/>
    <n v="1"/>
    <n v="911"/>
    <n v="10"/>
    <s v="Bob"/>
    <n v="911"/>
  </r>
  <r>
    <x v="385"/>
    <x v="1"/>
    <x v="1"/>
    <n v="12"/>
    <n v="208"/>
    <n v="5"/>
    <s v="Charlie"/>
    <n v="2496"/>
  </r>
  <r>
    <x v="386"/>
    <x v="2"/>
    <x v="2"/>
    <n v="17"/>
    <n v="929"/>
    <n v="5"/>
    <s v="Charlie"/>
    <n v="15793"/>
  </r>
  <r>
    <x v="387"/>
    <x v="3"/>
    <x v="1"/>
    <n v="2"/>
    <n v="333"/>
    <n v="15"/>
    <s v="Charlie"/>
    <n v="666"/>
  </r>
  <r>
    <x v="388"/>
    <x v="2"/>
    <x v="1"/>
    <n v="13"/>
    <n v="336"/>
    <n v="5"/>
    <s v="Diana"/>
    <n v="4368"/>
  </r>
  <r>
    <x v="389"/>
    <x v="3"/>
    <x v="5"/>
    <n v="2"/>
    <n v="3"/>
    <n v="10"/>
    <s v="Alice"/>
    <n v="6"/>
  </r>
  <r>
    <x v="390"/>
    <x v="1"/>
    <x v="4"/>
    <n v="12"/>
    <n v="969"/>
    <n v="10"/>
    <s v="Bob"/>
    <n v="11628"/>
  </r>
  <r>
    <x v="391"/>
    <x v="0"/>
    <x v="5"/>
    <n v="14"/>
    <n v="15"/>
    <n v="0"/>
    <s v="Charlie"/>
    <n v="210"/>
  </r>
  <r>
    <x v="392"/>
    <x v="1"/>
    <x v="1"/>
    <n v="7"/>
    <n v="382"/>
    <n v="10"/>
    <s v="Diana"/>
    <n v="2674"/>
  </r>
  <r>
    <x v="393"/>
    <x v="3"/>
    <x v="7"/>
    <n v="15"/>
    <n v="253"/>
    <n v="15"/>
    <s v="Bob"/>
    <n v="3795"/>
  </r>
  <r>
    <x v="394"/>
    <x v="2"/>
    <x v="4"/>
    <n v="13"/>
    <n v="660"/>
    <n v="0"/>
    <s v="Alice"/>
    <n v="8580"/>
  </r>
  <r>
    <x v="395"/>
    <x v="0"/>
    <x v="5"/>
    <n v="6"/>
    <n v="11"/>
    <n v="15"/>
    <s v="Charlie"/>
    <n v="66"/>
  </r>
  <r>
    <x v="396"/>
    <x v="2"/>
    <x v="7"/>
    <n v="18"/>
    <n v="219"/>
    <n v="10"/>
    <s v="Diana"/>
    <n v="3942"/>
  </r>
  <r>
    <x v="397"/>
    <x v="0"/>
    <x v="5"/>
    <n v="12"/>
    <n v="2"/>
    <n v="5"/>
    <s v="Diana"/>
    <n v="24"/>
  </r>
  <r>
    <x v="398"/>
    <x v="3"/>
    <x v="0"/>
    <n v="5"/>
    <n v="9"/>
    <n v="5"/>
    <s v="Bob"/>
    <n v="45"/>
  </r>
  <r>
    <x v="399"/>
    <x v="0"/>
    <x v="3"/>
    <n v="18"/>
    <n v="328"/>
    <n v="15"/>
    <s v="Bob"/>
    <n v="5904"/>
  </r>
  <r>
    <x v="400"/>
    <x v="0"/>
    <x v="3"/>
    <n v="12"/>
    <n v="185"/>
    <n v="0"/>
    <s v="Bob"/>
    <n v="2220"/>
  </r>
  <r>
    <x v="401"/>
    <x v="2"/>
    <x v="4"/>
    <n v="6"/>
    <n v="804"/>
    <n v="15"/>
    <s v="Alice"/>
    <n v="4824"/>
  </r>
  <r>
    <x v="402"/>
    <x v="2"/>
    <x v="5"/>
    <n v="20"/>
    <n v="4"/>
    <n v="15"/>
    <s v="Alice"/>
    <n v="80"/>
  </r>
  <r>
    <x v="403"/>
    <x v="0"/>
    <x v="4"/>
    <n v="8"/>
    <n v="954"/>
    <n v="5"/>
    <s v="Diana"/>
    <n v="7632"/>
  </r>
  <r>
    <x v="404"/>
    <x v="2"/>
    <x v="3"/>
    <n v="8"/>
    <n v="483"/>
    <n v="0"/>
    <s v="Alice"/>
    <n v="3864"/>
  </r>
  <r>
    <x v="405"/>
    <x v="3"/>
    <x v="0"/>
    <n v="19"/>
    <n v="3"/>
    <n v="0"/>
    <s v="Bob"/>
    <n v="57"/>
  </r>
  <r>
    <x v="406"/>
    <x v="3"/>
    <x v="4"/>
    <n v="8"/>
    <n v="873"/>
    <n v="15"/>
    <s v="Bob"/>
    <n v="6984"/>
  </r>
  <r>
    <x v="407"/>
    <x v="1"/>
    <x v="6"/>
    <n v="17"/>
    <n v="167"/>
    <n v="15"/>
    <s v="Alice"/>
    <n v="2839"/>
  </r>
  <r>
    <x v="408"/>
    <x v="2"/>
    <x v="3"/>
    <n v="10"/>
    <n v="358"/>
    <n v="10"/>
    <s v="Charlie"/>
    <n v="3580"/>
  </r>
  <r>
    <x v="409"/>
    <x v="2"/>
    <x v="5"/>
    <n v="12"/>
    <n v="12"/>
    <n v="0"/>
    <s v="Diana"/>
    <n v="144"/>
  </r>
  <r>
    <x v="410"/>
    <x v="3"/>
    <x v="9"/>
    <n v="4"/>
    <n v="80"/>
    <n v="5"/>
    <s v="Charlie"/>
    <n v="320"/>
  </r>
  <r>
    <x v="411"/>
    <x v="1"/>
    <x v="0"/>
    <n v="16"/>
    <n v="5"/>
    <n v="0"/>
    <s v="Bob"/>
    <n v="80"/>
  </r>
  <r>
    <x v="412"/>
    <x v="0"/>
    <x v="5"/>
    <n v="19"/>
    <n v="15"/>
    <n v="10"/>
    <s v="Bob"/>
    <n v="285"/>
  </r>
  <r>
    <x v="413"/>
    <x v="0"/>
    <x v="7"/>
    <n v="20"/>
    <n v="79"/>
    <n v="5"/>
    <s v="Bob"/>
    <n v="1580"/>
  </r>
  <r>
    <x v="414"/>
    <x v="3"/>
    <x v="5"/>
    <n v="12"/>
    <n v="8"/>
    <n v="0"/>
    <s v="Diana"/>
    <n v="96"/>
  </r>
  <r>
    <x v="415"/>
    <x v="1"/>
    <x v="6"/>
    <n v="3"/>
    <n v="113"/>
    <n v="15"/>
    <s v="Alice"/>
    <n v="339"/>
  </r>
  <r>
    <x v="416"/>
    <x v="1"/>
    <x v="8"/>
    <n v="16"/>
    <n v="228"/>
    <n v="5"/>
    <s v="Alice"/>
    <n v="3648"/>
  </r>
  <r>
    <x v="417"/>
    <x v="0"/>
    <x v="6"/>
    <n v="20"/>
    <n v="75"/>
    <n v="10"/>
    <s v="Charlie"/>
    <n v="1500"/>
  </r>
  <r>
    <x v="418"/>
    <x v="2"/>
    <x v="4"/>
    <n v="17"/>
    <n v="743"/>
    <n v="10"/>
    <s v="Alice"/>
    <n v="12631"/>
  </r>
  <r>
    <x v="419"/>
    <x v="0"/>
    <x v="0"/>
    <n v="6"/>
    <n v="1"/>
    <n v="0"/>
    <s v="Bob"/>
    <n v="6"/>
  </r>
  <r>
    <x v="420"/>
    <x v="3"/>
    <x v="6"/>
    <n v="12"/>
    <n v="249"/>
    <n v="5"/>
    <s v="Bob"/>
    <n v="2988"/>
  </r>
  <r>
    <x v="421"/>
    <x v="0"/>
    <x v="8"/>
    <n v="18"/>
    <n v="354"/>
    <n v="15"/>
    <s v="Charlie"/>
    <n v="6372"/>
  </r>
  <r>
    <x v="422"/>
    <x v="0"/>
    <x v="0"/>
    <n v="10"/>
    <n v="8"/>
    <n v="5"/>
    <s v="Diana"/>
    <n v="80"/>
  </r>
  <r>
    <x v="423"/>
    <x v="0"/>
    <x v="2"/>
    <n v="14"/>
    <n v="953"/>
    <n v="5"/>
    <s v="Diana"/>
    <n v="13342"/>
  </r>
  <r>
    <x v="424"/>
    <x v="2"/>
    <x v="3"/>
    <n v="4"/>
    <n v="375"/>
    <n v="10"/>
    <s v="Alice"/>
    <n v="1500"/>
  </r>
  <r>
    <x v="425"/>
    <x v="1"/>
    <x v="1"/>
    <n v="8"/>
    <n v="317"/>
    <n v="10"/>
    <s v="Diana"/>
    <n v="2536"/>
  </r>
  <r>
    <x v="426"/>
    <x v="3"/>
    <x v="9"/>
    <n v="9"/>
    <n v="83"/>
    <n v="0"/>
    <s v="Bob"/>
    <n v="747"/>
  </r>
  <r>
    <x v="427"/>
    <x v="3"/>
    <x v="2"/>
    <n v="4"/>
    <n v="1078"/>
    <n v="0"/>
    <s v="Bob"/>
    <n v="4312"/>
  </r>
  <r>
    <x v="428"/>
    <x v="1"/>
    <x v="3"/>
    <n v="1"/>
    <n v="447"/>
    <n v="15"/>
    <s v="Alice"/>
    <n v="447"/>
  </r>
  <r>
    <x v="429"/>
    <x v="0"/>
    <x v="1"/>
    <n v="2"/>
    <n v="264"/>
    <n v="15"/>
    <s v="Alice"/>
    <n v="528"/>
  </r>
  <r>
    <x v="430"/>
    <x v="2"/>
    <x v="9"/>
    <n v="7"/>
    <n v="126"/>
    <n v="5"/>
    <s v="Diana"/>
    <n v="882"/>
  </r>
  <r>
    <x v="431"/>
    <x v="2"/>
    <x v="6"/>
    <n v="1"/>
    <n v="107"/>
    <n v="5"/>
    <s v="Bob"/>
    <n v="107"/>
  </r>
  <r>
    <x v="432"/>
    <x v="2"/>
    <x v="2"/>
    <n v="3"/>
    <n v="1179"/>
    <n v="5"/>
    <s v="Diana"/>
    <n v="3537"/>
  </r>
  <r>
    <x v="433"/>
    <x v="0"/>
    <x v="3"/>
    <n v="7"/>
    <n v="200"/>
    <n v="0"/>
    <s v="Bob"/>
    <n v="1400"/>
  </r>
  <r>
    <x v="434"/>
    <x v="3"/>
    <x v="5"/>
    <n v="11"/>
    <n v="4"/>
    <n v="5"/>
    <s v="Charlie"/>
    <n v="44"/>
  </r>
  <r>
    <x v="435"/>
    <x v="0"/>
    <x v="0"/>
    <n v="8"/>
    <n v="5"/>
    <n v="5"/>
    <s v="Charlie"/>
    <n v="40"/>
  </r>
  <r>
    <x v="436"/>
    <x v="1"/>
    <x v="3"/>
    <n v="13"/>
    <n v="349"/>
    <n v="0"/>
    <s v="Charlie"/>
    <n v="4537"/>
  </r>
  <r>
    <x v="437"/>
    <x v="0"/>
    <x v="2"/>
    <n v="3"/>
    <n v="1434"/>
    <n v="5"/>
    <s v="Bob"/>
    <n v="4302"/>
  </r>
  <r>
    <x v="438"/>
    <x v="0"/>
    <x v="8"/>
    <n v="19"/>
    <n v="221"/>
    <n v="0"/>
    <s v="Alice"/>
    <n v="4199"/>
  </r>
  <r>
    <x v="439"/>
    <x v="1"/>
    <x v="5"/>
    <n v="6"/>
    <n v="5"/>
    <n v="0"/>
    <s v="Alice"/>
    <n v="30"/>
  </r>
  <r>
    <x v="440"/>
    <x v="3"/>
    <x v="4"/>
    <n v="7"/>
    <n v="789"/>
    <n v="15"/>
    <s v="Bob"/>
    <n v="5523"/>
  </r>
  <r>
    <x v="441"/>
    <x v="3"/>
    <x v="6"/>
    <n v="17"/>
    <n v="274"/>
    <n v="0"/>
    <s v="Alice"/>
    <n v="4658"/>
  </r>
  <r>
    <x v="442"/>
    <x v="3"/>
    <x v="6"/>
    <n v="2"/>
    <n v="64"/>
    <n v="5"/>
    <s v="Diana"/>
    <n v="128"/>
  </r>
  <r>
    <x v="443"/>
    <x v="3"/>
    <x v="8"/>
    <n v="8"/>
    <n v="327"/>
    <n v="15"/>
    <s v="Alice"/>
    <n v="2616"/>
  </r>
  <r>
    <x v="444"/>
    <x v="2"/>
    <x v="8"/>
    <n v="14"/>
    <n v="108"/>
    <n v="10"/>
    <s v="Charlie"/>
    <n v="1512"/>
  </r>
  <r>
    <x v="445"/>
    <x v="3"/>
    <x v="1"/>
    <n v="17"/>
    <n v="138"/>
    <n v="5"/>
    <s v="Diana"/>
    <n v="2346"/>
  </r>
  <r>
    <x v="446"/>
    <x v="2"/>
    <x v="6"/>
    <n v="1"/>
    <n v="52"/>
    <n v="15"/>
    <s v="Alice"/>
    <n v="52"/>
  </r>
  <r>
    <x v="447"/>
    <x v="1"/>
    <x v="2"/>
    <n v="18"/>
    <n v="870"/>
    <n v="15"/>
    <s v="Charlie"/>
    <n v="15660"/>
  </r>
  <r>
    <x v="448"/>
    <x v="1"/>
    <x v="6"/>
    <n v="11"/>
    <n v="268"/>
    <n v="15"/>
    <s v="Alice"/>
    <n v="2948"/>
  </r>
  <r>
    <x v="449"/>
    <x v="1"/>
    <x v="9"/>
    <n v="12"/>
    <n v="106"/>
    <n v="0"/>
    <s v="Alice"/>
    <n v="1272"/>
  </r>
  <r>
    <x v="450"/>
    <x v="3"/>
    <x v="2"/>
    <n v="13"/>
    <n v="1404"/>
    <n v="0"/>
    <s v="Diana"/>
    <n v="18252"/>
  </r>
  <r>
    <x v="451"/>
    <x v="2"/>
    <x v="4"/>
    <n v="3"/>
    <n v="953"/>
    <n v="15"/>
    <s v="Charlie"/>
    <n v="2859"/>
  </r>
  <r>
    <x v="452"/>
    <x v="0"/>
    <x v="1"/>
    <n v="10"/>
    <n v="306"/>
    <n v="10"/>
    <s v="Bob"/>
    <n v="3060"/>
  </r>
  <r>
    <x v="453"/>
    <x v="1"/>
    <x v="4"/>
    <n v="13"/>
    <n v="692"/>
    <n v="15"/>
    <s v="Charlie"/>
    <n v="8996"/>
  </r>
  <r>
    <x v="454"/>
    <x v="3"/>
    <x v="4"/>
    <n v="5"/>
    <n v="687"/>
    <n v="5"/>
    <s v="Charlie"/>
    <n v="3435"/>
  </r>
  <r>
    <x v="455"/>
    <x v="0"/>
    <x v="2"/>
    <n v="5"/>
    <n v="1336"/>
    <n v="0"/>
    <s v="Alice"/>
    <n v="6680"/>
  </r>
  <r>
    <x v="456"/>
    <x v="2"/>
    <x v="9"/>
    <n v="19"/>
    <n v="41"/>
    <n v="10"/>
    <s v="Charlie"/>
    <n v="779"/>
  </r>
  <r>
    <x v="457"/>
    <x v="0"/>
    <x v="6"/>
    <n v="12"/>
    <n v="193"/>
    <n v="10"/>
    <s v="Bob"/>
    <n v="2316"/>
  </r>
  <r>
    <x v="458"/>
    <x v="1"/>
    <x v="6"/>
    <n v="18"/>
    <n v="116"/>
    <n v="15"/>
    <s v="Diana"/>
    <n v="2088"/>
  </r>
  <r>
    <x v="459"/>
    <x v="2"/>
    <x v="9"/>
    <n v="13"/>
    <n v="57"/>
    <n v="15"/>
    <s v="Bob"/>
    <n v="741"/>
  </r>
  <r>
    <x v="460"/>
    <x v="0"/>
    <x v="3"/>
    <n v="14"/>
    <n v="177"/>
    <n v="0"/>
    <s v="Bob"/>
    <n v="2478"/>
  </r>
  <r>
    <x v="461"/>
    <x v="2"/>
    <x v="5"/>
    <n v="17"/>
    <n v="9"/>
    <n v="0"/>
    <s v="Bob"/>
    <n v="153"/>
  </r>
  <r>
    <x v="462"/>
    <x v="0"/>
    <x v="6"/>
    <n v="17"/>
    <n v="106"/>
    <n v="0"/>
    <s v="Alice"/>
    <n v="1802"/>
  </r>
  <r>
    <x v="463"/>
    <x v="0"/>
    <x v="6"/>
    <n v="14"/>
    <n v="223"/>
    <n v="15"/>
    <s v="Charlie"/>
    <n v="3122"/>
  </r>
  <r>
    <x v="464"/>
    <x v="2"/>
    <x v="1"/>
    <n v="8"/>
    <n v="103"/>
    <n v="0"/>
    <s v="Diana"/>
    <n v="824"/>
  </r>
  <r>
    <x v="465"/>
    <x v="3"/>
    <x v="8"/>
    <n v="13"/>
    <n v="300"/>
    <n v="5"/>
    <s v="Diana"/>
    <n v="3900"/>
  </r>
  <r>
    <x v="466"/>
    <x v="2"/>
    <x v="6"/>
    <n v="13"/>
    <n v="103"/>
    <n v="5"/>
    <s v="Alice"/>
    <n v="1339"/>
  </r>
  <r>
    <x v="467"/>
    <x v="0"/>
    <x v="8"/>
    <n v="7"/>
    <n v="302"/>
    <n v="10"/>
    <s v="Charlie"/>
    <n v="2114"/>
  </r>
  <r>
    <x v="468"/>
    <x v="1"/>
    <x v="1"/>
    <n v="8"/>
    <n v="429"/>
    <n v="15"/>
    <s v="Alice"/>
    <n v="3432"/>
  </r>
  <r>
    <x v="469"/>
    <x v="0"/>
    <x v="0"/>
    <n v="14"/>
    <n v="1"/>
    <n v="0"/>
    <s v="Alice"/>
    <n v="14"/>
  </r>
  <r>
    <x v="470"/>
    <x v="2"/>
    <x v="4"/>
    <n v="4"/>
    <n v="410"/>
    <n v="10"/>
    <s v="Bob"/>
    <n v="1640"/>
  </r>
  <r>
    <x v="471"/>
    <x v="0"/>
    <x v="5"/>
    <n v="15"/>
    <n v="11"/>
    <n v="5"/>
    <s v="Alice"/>
    <n v="165"/>
  </r>
  <r>
    <x v="472"/>
    <x v="2"/>
    <x v="6"/>
    <n v="4"/>
    <n v="101"/>
    <n v="15"/>
    <s v="Bob"/>
    <n v="404"/>
  </r>
  <r>
    <x v="49"/>
    <x v="2"/>
    <x v="1"/>
    <n v="1"/>
    <n v="370"/>
    <n v="15"/>
    <s v="Charlie"/>
    <n v="370"/>
  </r>
  <r>
    <x v="473"/>
    <x v="3"/>
    <x v="3"/>
    <n v="15"/>
    <n v="275"/>
    <n v="0"/>
    <s v="Charlie"/>
    <n v="4125"/>
  </r>
  <r>
    <x v="474"/>
    <x v="2"/>
    <x v="4"/>
    <n v="12"/>
    <n v="960"/>
    <n v="0"/>
    <s v="Alice"/>
    <n v="11520"/>
  </r>
  <r>
    <x v="475"/>
    <x v="2"/>
    <x v="2"/>
    <n v="16"/>
    <n v="1064"/>
    <n v="5"/>
    <s v="Alice"/>
    <n v="17024"/>
  </r>
  <r>
    <x v="476"/>
    <x v="0"/>
    <x v="7"/>
    <n v="2"/>
    <n v="77"/>
    <n v="15"/>
    <s v="Alice"/>
    <n v="154"/>
  </r>
  <r>
    <x v="477"/>
    <x v="2"/>
    <x v="2"/>
    <n v="12"/>
    <n v="1251"/>
    <n v="5"/>
    <s v="Diana"/>
    <n v="15012"/>
  </r>
  <r>
    <x v="478"/>
    <x v="2"/>
    <x v="7"/>
    <n v="5"/>
    <n v="266"/>
    <n v="10"/>
    <s v="Bob"/>
    <n v="1330"/>
  </r>
  <r>
    <x v="479"/>
    <x v="3"/>
    <x v="1"/>
    <n v="2"/>
    <n v="146"/>
    <n v="15"/>
    <s v="Diana"/>
    <n v="292"/>
  </r>
  <r>
    <x v="480"/>
    <x v="2"/>
    <x v="8"/>
    <n v="8"/>
    <n v="219"/>
    <n v="15"/>
    <s v="Alice"/>
    <n v="1752"/>
  </r>
  <r>
    <x v="481"/>
    <x v="3"/>
    <x v="1"/>
    <n v="17"/>
    <n v="430"/>
    <n v="15"/>
    <s v="Diana"/>
    <n v="7310"/>
  </r>
  <r>
    <x v="270"/>
    <x v="1"/>
    <x v="3"/>
    <n v="13"/>
    <n v="244"/>
    <n v="0"/>
    <s v="Diana"/>
    <n v="3172"/>
  </r>
  <r>
    <x v="482"/>
    <x v="2"/>
    <x v="5"/>
    <n v="10"/>
    <n v="5"/>
    <n v="15"/>
    <s v="Alice"/>
    <n v="50"/>
  </r>
  <r>
    <x v="483"/>
    <x v="0"/>
    <x v="8"/>
    <n v="6"/>
    <n v="261"/>
    <n v="5"/>
    <s v="Charlie"/>
    <n v="1566"/>
  </r>
  <r>
    <x v="484"/>
    <x v="3"/>
    <x v="7"/>
    <n v="4"/>
    <n v="265"/>
    <n v="5"/>
    <s v="Diana"/>
    <n v="1060"/>
  </r>
  <r>
    <x v="485"/>
    <x v="0"/>
    <x v="2"/>
    <n v="3"/>
    <n v="1393"/>
    <n v="0"/>
    <s v="Diana"/>
    <n v="4179"/>
  </r>
  <r>
    <x v="486"/>
    <x v="3"/>
    <x v="3"/>
    <n v="14"/>
    <n v="269"/>
    <n v="10"/>
    <s v="Charlie"/>
    <n v="3766"/>
  </r>
  <r>
    <x v="487"/>
    <x v="1"/>
    <x v="6"/>
    <n v="3"/>
    <n v="230"/>
    <n v="5"/>
    <s v="Charlie"/>
    <n v="690"/>
  </r>
  <r>
    <x v="488"/>
    <x v="0"/>
    <x v="9"/>
    <n v="14"/>
    <n v="76"/>
    <n v="5"/>
    <s v="Bob"/>
    <n v="1064"/>
  </r>
  <r>
    <x v="489"/>
    <x v="3"/>
    <x v="5"/>
    <n v="2"/>
    <n v="3"/>
    <n v="5"/>
    <s v="Bob"/>
    <n v="6"/>
  </r>
  <r>
    <x v="490"/>
    <x v="3"/>
    <x v="9"/>
    <n v="13"/>
    <n v="131"/>
    <n v="0"/>
    <s v="Charlie"/>
    <n v="1703"/>
  </r>
  <r>
    <x v="491"/>
    <x v="1"/>
    <x v="6"/>
    <n v="5"/>
    <n v="65"/>
    <n v="15"/>
    <s v="Alice"/>
    <n v="325"/>
  </r>
  <r>
    <x v="492"/>
    <x v="1"/>
    <x v="1"/>
    <n v="5"/>
    <n v="226"/>
    <n v="5"/>
    <s v="Alice"/>
    <n v="1130"/>
  </r>
  <r>
    <x v="493"/>
    <x v="0"/>
    <x v="7"/>
    <n v="2"/>
    <n v="254"/>
    <n v="15"/>
    <s v="Alice"/>
    <n v="508"/>
  </r>
  <r>
    <x v="494"/>
    <x v="3"/>
    <x v="5"/>
    <n v="6"/>
    <n v="12"/>
    <n v="5"/>
    <s v="Alice"/>
    <n v="72"/>
  </r>
  <r>
    <x v="495"/>
    <x v="1"/>
    <x v="0"/>
    <n v="13"/>
    <n v="9"/>
    <n v="5"/>
    <s v="Charlie"/>
    <n v="117"/>
  </r>
  <r>
    <x v="496"/>
    <x v="1"/>
    <x v="9"/>
    <n v="11"/>
    <n v="25"/>
    <n v="10"/>
    <s v="Charlie"/>
    <n v="275"/>
  </r>
  <r>
    <x v="497"/>
    <x v="1"/>
    <x v="3"/>
    <n v="19"/>
    <n v="353"/>
    <n v="0"/>
    <s v="Diana"/>
    <n v="67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BDF3A-4663-403A-A739-28552B302E2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">
  <location ref="D8:I20" firstHeaderRow="1" firstDataRow="2" firstDataCol="1"/>
  <pivotFields count="8">
    <pivotField showAll="0">
      <items count="499">
        <item x="487"/>
        <item x="363"/>
        <item x="478"/>
        <item x="340"/>
        <item x="36"/>
        <item x="461"/>
        <item x="160"/>
        <item x="109"/>
        <item x="294"/>
        <item x="28"/>
        <item x="455"/>
        <item x="140"/>
        <item x="302"/>
        <item x="81"/>
        <item x="318"/>
        <item x="105"/>
        <item x="220"/>
        <item x="475"/>
        <item x="79"/>
        <item x="329"/>
        <item x="234"/>
        <item x="213"/>
        <item x="185"/>
        <item x="431"/>
        <item x="162"/>
        <item x="29"/>
        <item x="235"/>
        <item x="170"/>
        <item x="279"/>
        <item x="290"/>
        <item x="63"/>
        <item x="424"/>
        <item x="124"/>
        <item x="38"/>
        <item x="76"/>
        <item x="121"/>
        <item x="96"/>
        <item x="379"/>
        <item x="58"/>
        <item x="396"/>
        <item x="17"/>
        <item x="323"/>
        <item x="125"/>
        <item x="88"/>
        <item x="331"/>
        <item x="226"/>
        <item x="167"/>
        <item x="338"/>
        <item x="359"/>
        <item x="55"/>
        <item x="482"/>
        <item x="10"/>
        <item x="99"/>
        <item x="176"/>
        <item x="128"/>
        <item x="4"/>
        <item x="151"/>
        <item x="188"/>
        <item x="271"/>
        <item x="180"/>
        <item x="366"/>
        <item x="261"/>
        <item x="258"/>
        <item x="322"/>
        <item x="458"/>
        <item x="410"/>
        <item x="139"/>
        <item x="117"/>
        <item x="493"/>
        <item x="119"/>
        <item x="22"/>
        <item x="460"/>
        <item x="289"/>
        <item x="66"/>
        <item x="122"/>
        <item x="485"/>
        <item x="215"/>
        <item x="405"/>
        <item x="462"/>
        <item x="398"/>
        <item x="47"/>
        <item x="203"/>
        <item x="381"/>
        <item x="283"/>
        <item x="278"/>
        <item x="401"/>
        <item x="20"/>
        <item x="232"/>
        <item x="374"/>
        <item x="433"/>
        <item x="441"/>
        <item x="430"/>
        <item x="380"/>
        <item x="192"/>
        <item x="281"/>
        <item x="267"/>
        <item x="212"/>
        <item x="86"/>
        <item x="251"/>
        <item x="9"/>
        <item x="44"/>
        <item x="480"/>
        <item x="248"/>
        <item x="169"/>
        <item x="344"/>
        <item x="27"/>
        <item x="463"/>
        <item x="372"/>
        <item x="155"/>
        <item x="214"/>
        <item x="454"/>
        <item x="352"/>
        <item x="259"/>
        <item x="16"/>
        <item x="77"/>
        <item x="481"/>
        <item x="264"/>
        <item x="187"/>
        <item x="299"/>
        <item x="304"/>
        <item x="339"/>
        <item x="6"/>
        <item x="32"/>
        <item x="382"/>
        <item x="194"/>
        <item x="56"/>
        <item x="260"/>
        <item x="292"/>
        <item x="295"/>
        <item x="270"/>
        <item x="115"/>
        <item x="280"/>
        <item x="425"/>
        <item x="282"/>
        <item x="415"/>
        <item x="452"/>
        <item x="102"/>
        <item x="110"/>
        <item x="446"/>
        <item x="325"/>
        <item x="46"/>
        <item x="237"/>
        <item x="332"/>
        <item x="241"/>
        <item x="342"/>
        <item x="222"/>
        <item x="112"/>
        <item x="495"/>
        <item x="351"/>
        <item x="149"/>
        <item x="428"/>
        <item x="25"/>
        <item x="228"/>
        <item x="137"/>
        <item x="477"/>
        <item x="5"/>
        <item x="3"/>
        <item x="386"/>
        <item x="183"/>
        <item x="365"/>
        <item x="101"/>
        <item x="69"/>
        <item x="51"/>
        <item x="309"/>
        <item x="196"/>
        <item x="173"/>
        <item x="42"/>
        <item x="123"/>
        <item x="65"/>
        <item x="346"/>
        <item x="94"/>
        <item x="145"/>
        <item x="336"/>
        <item x="286"/>
        <item x="429"/>
        <item x="225"/>
        <item x="335"/>
        <item x="211"/>
        <item x="250"/>
        <item x="147"/>
        <item x="191"/>
        <item x="356"/>
        <item x="324"/>
        <item x="52"/>
        <item x="397"/>
        <item x="62"/>
        <item x="319"/>
        <item x="171"/>
        <item x="24"/>
        <item x="217"/>
        <item x="126"/>
        <item x="489"/>
        <item x="216"/>
        <item x="448"/>
        <item x="157"/>
        <item x="262"/>
        <item x="268"/>
        <item x="413"/>
        <item x="89"/>
        <item x="152"/>
        <item x="127"/>
        <item x="341"/>
        <item x="18"/>
        <item x="93"/>
        <item x="334"/>
        <item x="406"/>
        <item x="371"/>
        <item x="0"/>
        <item x="436"/>
        <item x="328"/>
        <item x="205"/>
        <item x="61"/>
        <item x="439"/>
        <item x="202"/>
        <item x="252"/>
        <item x="206"/>
        <item x="218"/>
        <item x="181"/>
        <item x="184"/>
        <item x="141"/>
        <item x="189"/>
        <item x="114"/>
        <item x="34"/>
        <item x="49"/>
        <item x="451"/>
        <item x="80"/>
        <item x="378"/>
        <item x="395"/>
        <item x="243"/>
        <item x="353"/>
        <item x="106"/>
        <item x="488"/>
        <item x="360"/>
        <item x="30"/>
        <item x="165"/>
        <item x="307"/>
        <item x="208"/>
        <item x="315"/>
        <item x="276"/>
        <item x="161"/>
        <item x="314"/>
        <item x="100"/>
        <item x="257"/>
        <item x="275"/>
        <item x="303"/>
        <item x="440"/>
        <item x="274"/>
        <item x="444"/>
        <item x="87"/>
        <item x="317"/>
        <item x="219"/>
        <item x="412"/>
        <item x="60"/>
        <item x="391"/>
        <item x="90"/>
        <item x="494"/>
        <item x="393"/>
        <item x="474"/>
        <item x="422"/>
        <item x="138"/>
        <item x="407"/>
        <item x="177"/>
        <item x="408"/>
        <item x="313"/>
        <item x="242"/>
        <item x="384"/>
        <item x="383"/>
        <item x="305"/>
        <item x="72"/>
        <item x="376"/>
        <item x="414"/>
        <item x="132"/>
        <item x="432"/>
        <item x="472"/>
        <item x="158"/>
        <item x="255"/>
        <item x="285"/>
        <item x="135"/>
        <item x="330"/>
        <item x="350"/>
        <item x="300"/>
        <item x="368"/>
        <item x="2"/>
        <item x="385"/>
        <item x="15"/>
        <item x="50"/>
        <item x="227"/>
        <item x="53"/>
        <item x="316"/>
        <item x="464"/>
        <item x="244"/>
        <item x="345"/>
        <item x="108"/>
        <item x="23"/>
        <item x="118"/>
        <item x="74"/>
        <item x="193"/>
        <item x="471"/>
        <item x="134"/>
        <item x="239"/>
        <item x="201"/>
        <item x="423"/>
        <item x="348"/>
        <item x="129"/>
        <item x="354"/>
        <item x="54"/>
        <item x="83"/>
        <item x="204"/>
        <item x="426"/>
        <item x="31"/>
        <item x="438"/>
        <item x="269"/>
        <item x="59"/>
        <item x="375"/>
        <item x="399"/>
        <item x="321"/>
        <item x="143"/>
        <item x="71"/>
        <item x="224"/>
        <item x="469"/>
        <item x="229"/>
        <item x="297"/>
        <item x="287"/>
        <item x="35"/>
        <item x="78"/>
        <item x="377"/>
        <item x="153"/>
        <item x="373"/>
        <item x="470"/>
        <item x="64"/>
        <item x="479"/>
        <item x="73"/>
        <item x="92"/>
        <item x="320"/>
        <item x="7"/>
        <item x="312"/>
        <item x="19"/>
        <item x="402"/>
        <item x="497"/>
        <item x="21"/>
        <item x="39"/>
        <item x="442"/>
        <item x="311"/>
        <item x="1"/>
        <item x="484"/>
        <item x="116"/>
        <item x="156"/>
        <item x="150"/>
        <item x="473"/>
        <item x="240"/>
        <item x="465"/>
        <item x="277"/>
        <item x="456"/>
        <item x="247"/>
        <item x="420"/>
        <item x="293"/>
        <item x="249"/>
        <item x="231"/>
        <item x="308"/>
        <item x="174"/>
        <item x="310"/>
        <item x="358"/>
        <item x="186"/>
        <item x="11"/>
        <item x="447"/>
        <item x="48"/>
        <item x="133"/>
        <item x="326"/>
        <item x="392"/>
        <item x="246"/>
        <item x="389"/>
        <item x="298"/>
        <item x="40"/>
        <item x="411"/>
        <item x="355"/>
        <item x="450"/>
        <item x="453"/>
        <item x="435"/>
        <item x="273"/>
        <item x="245"/>
        <item x="210"/>
        <item x="256"/>
        <item x="136"/>
        <item x="148"/>
        <item x="8"/>
        <item x="443"/>
        <item x="238"/>
        <item x="159"/>
        <item x="369"/>
        <item x="361"/>
        <item x="233"/>
        <item x="207"/>
        <item x="483"/>
        <item x="70"/>
        <item x="120"/>
        <item x="417"/>
        <item x="107"/>
        <item x="306"/>
        <item x="437"/>
        <item x="175"/>
        <item x="388"/>
        <item x="266"/>
        <item x="349"/>
        <item x="387"/>
        <item x="272"/>
        <item x="333"/>
        <item x="449"/>
        <item x="427"/>
        <item x="284"/>
        <item x="182"/>
        <item x="113"/>
        <item x="37"/>
        <item x="421"/>
        <item x="347"/>
        <item x="416"/>
        <item x="163"/>
        <item x="12"/>
        <item x="445"/>
        <item x="26"/>
        <item x="95"/>
        <item x="131"/>
        <item x="400"/>
        <item x="223"/>
        <item x="75"/>
        <item x="468"/>
        <item x="288"/>
        <item x="357"/>
        <item x="476"/>
        <item x="370"/>
        <item x="390"/>
        <item x="394"/>
        <item x="41"/>
        <item x="418"/>
        <item x="85"/>
        <item x="364"/>
        <item x="154"/>
        <item x="486"/>
        <item x="142"/>
        <item x="254"/>
        <item x="130"/>
        <item x="68"/>
        <item x="343"/>
        <item x="98"/>
        <item x="190"/>
        <item x="263"/>
        <item x="43"/>
        <item x="403"/>
        <item x="172"/>
        <item x="491"/>
        <item x="198"/>
        <item x="179"/>
        <item x="111"/>
        <item x="492"/>
        <item x="84"/>
        <item x="496"/>
        <item x="45"/>
        <item x="57"/>
        <item x="168"/>
        <item x="404"/>
        <item x="14"/>
        <item x="82"/>
        <item x="199"/>
        <item x="200"/>
        <item x="409"/>
        <item x="209"/>
        <item x="33"/>
        <item x="296"/>
        <item x="178"/>
        <item x="221"/>
        <item x="457"/>
        <item x="459"/>
        <item x="97"/>
        <item x="146"/>
        <item x="367"/>
        <item x="230"/>
        <item x="236"/>
        <item x="265"/>
        <item x="91"/>
        <item x="434"/>
        <item x="197"/>
        <item x="291"/>
        <item x="164"/>
        <item x="144"/>
        <item x="419"/>
        <item x="253"/>
        <item x="166"/>
        <item x="490"/>
        <item x="103"/>
        <item x="327"/>
        <item x="13"/>
        <item x="67"/>
        <item x="467"/>
        <item x="195"/>
        <item x="466"/>
        <item x="337"/>
        <item x="301"/>
        <item x="104"/>
        <item x="362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11">
        <item x="6"/>
        <item x="7"/>
        <item x="9"/>
        <item x="2"/>
        <item x="0"/>
        <item x="1"/>
        <item x="5"/>
        <item x="3"/>
        <item x="8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 " fld="7" showDataAs="percentOfCol" baseField="0" baseItem="0" numFmtId="10"/>
  </dataFields>
  <formats count="8">
    <format dxfId="36">
      <pivotArea field="2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Col="1" outline="0" fieldPosition="0"/>
    </format>
    <format dxfId="33">
      <pivotArea field="2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1">
          <reference field="2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B3F8F6-137C-4A36-BC03-E0E4DDF150E5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Region" tableColumnId="2"/>
      <queryTableField id="3" name="ProductName" tableColumnId="3"/>
      <queryTableField id="4" name="Quantity" tableColumnId="4"/>
      <queryTableField id="5" name="UnitPrice" tableColumnId="5"/>
      <queryTableField id="6" name="Discount %" tableColumnId="6"/>
      <queryTableField id="7" name="SalesRep" tableColumnId="7"/>
      <queryTableField id="8" name="Total Sales 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AADCEB-A07D-4F37-BFC0-EB187A70ECDF}" name="Default_sheet_1" displayName="Default_sheet_1" ref="A1:H501" tableType="queryTable" totalsRowShown="0" headerRowDxfId="37">
  <autoFilter ref="A1:H501" xr:uid="{C5AADCEB-A07D-4F37-BFC0-EB187A70ECDF}"/>
  <tableColumns count="8">
    <tableColumn id="1" xr3:uid="{665BBF74-5FB1-40BE-BF13-87358EC92AD3}" uniqueName="1" name="Name" queryTableFieldId="1"/>
    <tableColumn id="2" xr3:uid="{D6898221-173E-465F-ACF3-0781EAAB72D3}" uniqueName="2" name="Region" queryTableFieldId="2"/>
    <tableColumn id="3" xr3:uid="{ADAA524F-6F8F-4DE9-A55C-FB5E60D01314}" uniqueName="3" name="ProductName" queryTableFieldId="3"/>
    <tableColumn id="4" xr3:uid="{DC4E94A0-6317-475C-95A5-2E2ADFC582F8}" uniqueName="4" name="Quantity" queryTableFieldId="4"/>
    <tableColumn id="5" xr3:uid="{8A65032D-B2A3-4776-B2D2-922ECD897187}" uniqueName="5" name="UnitPrice" queryTableFieldId="5"/>
    <tableColumn id="6" xr3:uid="{8631B7A4-FC1E-48B5-9FB9-9B5C1718E104}" uniqueName="6" name="Discount %" queryTableFieldId="6"/>
    <tableColumn id="7" xr3:uid="{5EB728AC-3363-474C-A38D-36A6D620AC62}" uniqueName="7" name="SalesRep" queryTableFieldId="7"/>
    <tableColumn id="8" xr3:uid="{6CFC5F81-73F4-47C7-9176-F795C31E6724}" uniqueName="8" name="Total Sales " queryTableField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773C9-BE85-4F0E-8A5B-9968B2D7E2DC}" name="Default_sheet" displayName="Default_sheet" ref="A1:R501" totalsRowShown="0" headerRowDxfId="38" dataDxfId="39">
  <autoFilter ref="A1:R501" xr:uid="{E5F773C9-BE85-4F0E-8A5B-9968B2D7E2DC}"/>
  <tableColumns count="18">
    <tableColumn id="1" xr3:uid="{5AA9E012-3F44-4964-AE83-A9A7F488C6A8}" name="CustomerID" dataDxfId="54"/>
    <tableColumn id="2" xr3:uid="{08240749-C451-401A-BF0B-A64557F490B6}" name="Name" dataDxfId="53"/>
    <tableColumn id="3" xr3:uid="{90B58534-5F3C-473B-A96E-BF97FE95C461}" name="Region" dataDxfId="52"/>
    <tableColumn id="4" xr3:uid="{986DBDC6-A3EF-43A8-9583-DD91FD147D81}" name="ProductID" dataDxfId="51"/>
    <tableColumn id="5" xr3:uid="{F5873BAB-09AB-4167-BB58-056D4E04E342}" name="ProductName" dataDxfId="50"/>
    <tableColumn id="6" xr3:uid="{3382D810-60A7-4A7D-AB9E-3A6A3877F2CE}" name="Category" dataDxfId="49"/>
    <tableColumn id="7" xr3:uid="{F0A7586D-A1A5-4601-84C2-6BB74B3873E0}" name="Quantity" dataDxfId="48"/>
    <tableColumn id="8" xr3:uid="{1A55B452-3AA3-4D54-A08D-BA75A8C1A2B5}" name="UnitPrice" dataDxfId="47"/>
    <tableColumn id="9" xr3:uid="{45484521-C92F-4F84-B06F-B8F33C1E2356}" name="Discount %" dataDxfId="46"/>
    <tableColumn id="10" xr3:uid="{A6303393-764B-4016-95B0-4EC802F77151}" name="PurchaseDate" dataDxfId="45"/>
    <tableColumn id="11" xr3:uid="{A18C3184-132D-460B-A0CB-115901E96FA6}" name="SalesRep"/>
    <tableColumn id="12" xr3:uid="{A99D71D3-3263-4D4A-96A1-5BA72D519A5C}" name="PaymentMethod" dataDxfId="44"/>
    <tableColumn id="13" xr3:uid="{3424522C-B1A1-483D-B175-190F894E3DFB}" name="Returned" dataDxfId="43"/>
    <tableColumn id="14" xr3:uid="{2EED49FC-4D01-425D-95B0-20A195842D52}" name="Purchased YEAR" dataDxfId="42">
      <calculatedColumnFormula>TEXT(J2,"YYYY")</calculatedColumnFormula>
    </tableColumn>
    <tableColumn id="15" xr3:uid="{8B8A41CD-199C-4D05-B48A-384A71847C6F}" name="Purchased Month" dataDxfId="41">
      <calculatedColumnFormula>TEXT(J2,"mmm")</calculatedColumnFormula>
    </tableColumn>
    <tableColumn id="16" xr3:uid="{14F3F9B0-CFE8-4B1F-8BB1-11FA2D2544AA}" name="Purchased Day" dataDxfId="40">
      <calculatedColumnFormula>TEXT(J2,"ddd")</calculatedColumnFormula>
    </tableColumn>
    <tableColumn id="17" xr3:uid="{00302669-8CB0-4DBF-9F2F-F0FC6EBD8DEC}" name="Status ">
      <calculatedColumnFormula>IF(I2&gt;0,"Discounted","Full Price")</calculatedColumnFormula>
    </tableColumn>
    <tableColumn id="18" xr3:uid="{0D8BAF4D-AE99-4654-8142-498700EDF4CF}" name="Returned2">
      <calculatedColumnFormula>IF(M2="Yes","Check Return Policy","No Action")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F526-7AE2-4835-8090-08F6DEFB4D34}">
  <dimension ref="D8:I20"/>
  <sheetViews>
    <sheetView showGridLines="0" showRowColHeaders="0" topLeftCell="B1" workbookViewId="0">
      <selection activeCell="B1" sqref="A1:XFD1"/>
    </sheetView>
  </sheetViews>
  <sheetFormatPr defaultColWidth="25.28515625" defaultRowHeight="15" x14ac:dyDescent="0.25"/>
  <cols>
    <col min="4" max="4" width="16" bestFit="1" customWidth="1"/>
    <col min="5" max="8" width="8.140625" bestFit="1" customWidth="1"/>
    <col min="9" max="9" width="14.5703125" bestFit="1" customWidth="1"/>
    <col min="10" max="10" width="8.28515625" bestFit="1" customWidth="1"/>
    <col min="11" max="11" width="9.85546875" bestFit="1" customWidth="1"/>
    <col min="12" max="12" width="11.140625" bestFit="1" customWidth="1"/>
    <col min="13" max="13" width="8.140625" bestFit="1" customWidth="1"/>
    <col min="14" max="14" width="11.85546875" bestFit="1" customWidth="1"/>
    <col min="15" max="15" width="11.28515625" bestFit="1" customWidth="1"/>
  </cols>
  <sheetData>
    <row r="8" spans="4:9" x14ac:dyDescent="0.25">
      <c r="D8" s="9" t="s">
        <v>595</v>
      </c>
      <c r="E8" s="9" t="s">
        <v>596</v>
      </c>
    </row>
    <row r="9" spans="4:9" ht="18.75" x14ac:dyDescent="0.3">
      <c r="D9" s="12" t="s">
        <v>594</v>
      </c>
      <c r="E9" s="8" t="s">
        <v>514</v>
      </c>
      <c r="F9" s="8" t="s">
        <v>513</v>
      </c>
      <c r="G9" s="8" t="s">
        <v>512</v>
      </c>
      <c r="H9" s="8" t="s">
        <v>511</v>
      </c>
      <c r="I9" s="8" t="s">
        <v>593</v>
      </c>
    </row>
    <row r="10" spans="4:9" ht="18.75" x14ac:dyDescent="0.3">
      <c r="D10" s="13" t="s">
        <v>571</v>
      </c>
      <c r="E10" s="11">
        <v>0.10499608923019244</v>
      </c>
      <c r="F10" s="11">
        <v>5.0215470511708583E-2</v>
      </c>
      <c r="G10" s="11">
        <v>0.10190991289355578</v>
      </c>
      <c r="H10" s="11">
        <v>6.7969661610268378E-2</v>
      </c>
      <c r="I10" s="11">
        <v>7.9483641669857191E-2</v>
      </c>
    </row>
    <row r="11" spans="4:9" ht="18.75" x14ac:dyDescent="0.3">
      <c r="D11" s="13" t="s">
        <v>572</v>
      </c>
      <c r="E11" s="11">
        <v>3.0704391051124429E-2</v>
      </c>
      <c r="F11" s="11">
        <v>6.6798117230413415E-2</v>
      </c>
      <c r="G11" s="11">
        <v>5.2621838221148576E-2</v>
      </c>
      <c r="H11" s="11">
        <v>3.3224981941434681E-2</v>
      </c>
      <c r="I11" s="11">
        <v>4.7705420685461283E-2</v>
      </c>
    </row>
    <row r="12" spans="4:9" ht="18.75" x14ac:dyDescent="0.3">
      <c r="D12" s="13" t="s">
        <v>574</v>
      </c>
      <c r="E12" s="11">
        <v>3.2527262267212233E-2</v>
      </c>
      <c r="F12" s="11">
        <v>1.9873428013876843E-2</v>
      </c>
      <c r="G12" s="11">
        <v>3.3069765516368074E-2</v>
      </c>
      <c r="H12" s="11">
        <v>3.2819358782019227E-2</v>
      </c>
      <c r="I12" s="11">
        <v>2.9063379786844906E-2</v>
      </c>
    </row>
    <row r="13" spans="4:9" ht="18.75" x14ac:dyDescent="0.3">
      <c r="D13" s="13" t="s">
        <v>567</v>
      </c>
      <c r="E13" s="11">
        <v>0.26137193683298748</v>
      </c>
      <c r="F13" s="11">
        <v>0.41810991254697888</v>
      </c>
      <c r="G13" s="11">
        <v>0.20938908600330697</v>
      </c>
      <c r="H13" s="11">
        <v>0.24902761571373006</v>
      </c>
      <c r="I13" s="11">
        <v>0.29000860947462503</v>
      </c>
    </row>
    <row r="14" spans="4:9" ht="18.75" x14ac:dyDescent="0.3">
      <c r="D14" s="13" t="s">
        <v>565</v>
      </c>
      <c r="E14" s="11">
        <v>1.6127885404748515E-3</v>
      </c>
      <c r="F14" s="11">
        <v>1.6600715524718126E-3</v>
      </c>
      <c r="G14" s="11">
        <v>1.7460251749069151E-3</v>
      </c>
      <c r="H14" s="11">
        <v>2.867144524087348E-3</v>
      </c>
      <c r="I14" s="11">
        <v>1.9589674146818139E-3</v>
      </c>
    </row>
    <row r="15" spans="4:9" ht="18.75" x14ac:dyDescent="0.3">
      <c r="D15" s="13" t="s">
        <v>566</v>
      </c>
      <c r="E15" s="11">
        <v>0.12879684035655878</v>
      </c>
      <c r="F15" s="11">
        <v>0.1136798930326684</v>
      </c>
      <c r="G15" s="11">
        <v>0.12444264782160834</v>
      </c>
      <c r="H15" s="11">
        <v>0.1022670445074179</v>
      </c>
      <c r="I15" s="11">
        <v>0.11695619937993394</v>
      </c>
    </row>
    <row r="16" spans="4:9" ht="18.75" x14ac:dyDescent="0.3">
      <c r="D16" s="13" t="s">
        <v>570</v>
      </c>
      <c r="E16" s="11">
        <v>4.2081175945856844E-3</v>
      </c>
      <c r="F16" s="11">
        <v>3.2569022838970802E-3</v>
      </c>
      <c r="G16" s="11">
        <v>1.5828680107245396E-3</v>
      </c>
      <c r="H16" s="11">
        <v>3.4894704673001055E-3</v>
      </c>
      <c r="I16" s="11">
        <v>3.0537038143715837E-3</v>
      </c>
    </row>
    <row r="17" spans="4:9" ht="18.75" x14ac:dyDescent="0.3">
      <c r="D17" s="13" t="s">
        <v>568</v>
      </c>
      <c r="E17" s="11">
        <v>0.14689950291206907</v>
      </c>
      <c r="F17" s="11">
        <v>8.2030120699624162E-2</v>
      </c>
      <c r="G17" s="11">
        <v>8.2710941514244601E-2</v>
      </c>
      <c r="H17" s="11">
        <v>0.16324109573817858</v>
      </c>
      <c r="I17" s="11">
        <v>0.11459072816716698</v>
      </c>
    </row>
    <row r="18" spans="4:9" ht="18.75" x14ac:dyDescent="0.3">
      <c r="D18" s="13" t="s">
        <v>573</v>
      </c>
      <c r="E18" s="11">
        <v>0.17241646789613513</v>
      </c>
      <c r="F18" s="11">
        <v>3.4927002023706272E-2</v>
      </c>
      <c r="G18" s="11">
        <v>6.6957752035202989E-2</v>
      </c>
      <c r="H18" s="11">
        <v>0.10657609601600267</v>
      </c>
      <c r="I18" s="11">
        <v>8.8437232595694207E-2</v>
      </c>
    </row>
    <row r="19" spans="4:9" ht="18.75" x14ac:dyDescent="0.3">
      <c r="D19" s="13" t="s">
        <v>569</v>
      </c>
      <c r="E19" s="11">
        <v>0.11646660331865986</v>
      </c>
      <c r="F19" s="11">
        <v>0.20944908210465452</v>
      </c>
      <c r="G19" s="11">
        <v>0.32556916280893322</v>
      </c>
      <c r="H19" s="11">
        <v>0.23851753069956103</v>
      </c>
      <c r="I19" s="11">
        <v>0.22874211701136307</v>
      </c>
    </row>
    <row r="20" spans="4:9" x14ac:dyDescent="0.25">
      <c r="D20" s="10" t="s">
        <v>593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</row>
  </sheetData>
  <conditionalFormatting pivot="1" sqref="E10:I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830B-E5E0-4F04-88F4-315646C67925}">
  <dimension ref="A1:H501"/>
  <sheetViews>
    <sheetView topLeftCell="A2" workbookViewId="0">
      <selection activeCell="E5" sqref="E5"/>
    </sheetView>
  </sheetViews>
  <sheetFormatPr defaultRowHeight="15" x14ac:dyDescent="0.25"/>
  <cols>
    <col min="1" max="1" width="25.140625" bestFit="1" customWidth="1"/>
    <col min="2" max="2" width="11.42578125" bestFit="1" customWidth="1"/>
    <col min="3" max="3" width="19.28515625" bestFit="1" customWidth="1"/>
    <col min="4" max="4" width="13.5703125" bestFit="1" customWidth="1"/>
    <col min="5" max="5" width="14.140625" bestFit="1" customWidth="1"/>
    <col min="6" max="6" width="16.28515625" bestFit="1" customWidth="1"/>
    <col min="7" max="7" width="13.85546875" bestFit="1" customWidth="1"/>
    <col min="8" max="8" width="16.42578125" bestFit="1" customWidth="1"/>
  </cols>
  <sheetData>
    <row r="1" spans="1:8" ht="18.75" x14ac:dyDescent="0.3">
      <c r="A1" s="2" t="s">
        <v>1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592</v>
      </c>
    </row>
    <row r="2" spans="1:8" x14ac:dyDescent="0.25">
      <c r="A2" t="s">
        <v>13</v>
      </c>
      <c r="B2" t="s">
        <v>511</v>
      </c>
      <c r="C2" t="s">
        <v>565</v>
      </c>
      <c r="D2">
        <v>6</v>
      </c>
      <c r="E2">
        <v>2</v>
      </c>
      <c r="F2">
        <v>10</v>
      </c>
      <c r="G2" t="s">
        <v>578</v>
      </c>
      <c r="H2">
        <v>12</v>
      </c>
    </row>
    <row r="3" spans="1:8" x14ac:dyDescent="0.25">
      <c r="A3" t="s">
        <v>14</v>
      </c>
      <c r="B3" t="s">
        <v>512</v>
      </c>
      <c r="C3" t="s">
        <v>565</v>
      </c>
      <c r="D3">
        <v>5</v>
      </c>
      <c r="E3">
        <v>7</v>
      </c>
      <c r="F3">
        <v>5</v>
      </c>
      <c r="G3" t="s">
        <v>579</v>
      </c>
      <c r="H3">
        <v>35</v>
      </c>
    </row>
    <row r="4" spans="1:8" x14ac:dyDescent="0.25">
      <c r="A4" t="s">
        <v>15</v>
      </c>
      <c r="B4" t="s">
        <v>513</v>
      </c>
      <c r="C4" t="s">
        <v>566</v>
      </c>
      <c r="D4">
        <v>18</v>
      </c>
      <c r="E4">
        <v>386</v>
      </c>
      <c r="F4">
        <v>15</v>
      </c>
      <c r="G4" t="s">
        <v>580</v>
      </c>
      <c r="H4">
        <v>6948</v>
      </c>
    </row>
    <row r="5" spans="1:8" x14ac:dyDescent="0.25">
      <c r="A5" t="s">
        <v>16</v>
      </c>
      <c r="B5" t="s">
        <v>513</v>
      </c>
      <c r="C5" t="s">
        <v>567</v>
      </c>
      <c r="D5">
        <v>17</v>
      </c>
      <c r="E5">
        <v>973</v>
      </c>
      <c r="F5">
        <v>5</v>
      </c>
      <c r="G5" t="s">
        <v>579</v>
      </c>
      <c r="H5">
        <v>16541</v>
      </c>
    </row>
    <row r="6" spans="1:8" x14ac:dyDescent="0.25">
      <c r="A6" t="s">
        <v>17</v>
      </c>
      <c r="B6" t="s">
        <v>514</v>
      </c>
      <c r="C6" t="s">
        <v>568</v>
      </c>
      <c r="D6">
        <v>8</v>
      </c>
      <c r="E6">
        <v>211</v>
      </c>
      <c r="F6">
        <v>0</v>
      </c>
      <c r="G6" t="s">
        <v>581</v>
      </c>
      <c r="H6">
        <v>1688</v>
      </c>
    </row>
    <row r="7" spans="1:8" x14ac:dyDescent="0.25">
      <c r="A7" t="s">
        <v>18</v>
      </c>
      <c r="B7" t="s">
        <v>514</v>
      </c>
      <c r="C7" t="s">
        <v>565</v>
      </c>
      <c r="D7">
        <v>2</v>
      </c>
      <c r="E7">
        <v>3</v>
      </c>
      <c r="F7">
        <v>5</v>
      </c>
      <c r="G7" t="s">
        <v>581</v>
      </c>
      <c r="H7">
        <v>6</v>
      </c>
    </row>
    <row r="8" spans="1:8" x14ac:dyDescent="0.25">
      <c r="A8" t="s">
        <v>19</v>
      </c>
      <c r="B8" t="s">
        <v>513</v>
      </c>
      <c r="C8" t="s">
        <v>569</v>
      </c>
      <c r="D8">
        <v>11</v>
      </c>
      <c r="E8">
        <v>655</v>
      </c>
      <c r="F8">
        <v>10</v>
      </c>
      <c r="G8" t="s">
        <v>580</v>
      </c>
      <c r="H8">
        <v>7205</v>
      </c>
    </row>
    <row r="9" spans="1:8" x14ac:dyDescent="0.25">
      <c r="A9" t="s">
        <v>20</v>
      </c>
      <c r="B9" t="s">
        <v>514</v>
      </c>
      <c r="C9" t="s">
        <v>568</v>
      </c>
      <c r="D9">
        <v>3</v>
      </c>
      <c r="E9">
        <v>255</v>
      </c>
      <c r="F9">
        <v>15</v>
      </c>
      <c r="G9" t="s">
        <v>581</v>
      </c>
      <c r="H9">
        <v>765</v>
      </c>
    </row>
    <row r="10" spans="1:8" x14ac:dyDescent="0.25">
      <c r="A10" t="s">
        <v>21</v>
      </c>
      <c r="B10" t="s">
        <v>512</v>
      </c>
      <c r="C10" t="s">
        <v>568</v>
      </c>
      <c r="D10">
        <v>3</v>
      </c>
      <c r="E10">
        <v>405</v>
      </c>
      <c r="F10">
        <v>15</v>
      </c>
      <c r="G10" t="s">
        <v>579</v>
      </c>
      <c r="H10">
        <v>1215</v>
      </c>
    </row>
    <row r="11" spans="1:8" x14ac:dyDescent="0.25">
      <c r="A11" t="s">
        <v>22</v>
      </c>
      <c r="B11" t="s">
        <v>514</v>
      </c>
      <c r="C11" t="s">
        <v>570</v>
      </c>
      <c r="D11">
        <v>3</v>
      </c>
      <c r="E11">
        <v>4</v>
      </c>
      <c r="F11">
        <v>10</v>
      </c>
      <c r="G11" t="s">
        <v>581</v>
      </c>
      <c r="H11">
        <v>12</v>
      </c>
    </row>
    <row r="12" spans="1:8" x14ac:dyDescent="0.25">
      <c r="A12" t="s">
        <v>23</v>
      </c>
      <c r="B12" t="s">
        <v>513</v>
      </c>
      <c r="C12" t="s">
        <v>569</v>
      </c>
      <c r="D12">
        <v>3</v>
      </c>
      <c r="E12">
        <v>642</v>
      </c>
      <c r="F12">
        <v>5</v>
      </c>
      <c r="G12" t="s">
        <v>581</v>
      </c>
      <c r="H12">
        <v>1926</v>
      </c>
    </row>
    <row r="13" spans="1:8" x14ac:dyDescent="0.25">
      <c r="A13" t="s">
        <v>24</v>
      </c>
      <c r="B13" t="s">
        <v>513</v>
      </c>
      <c r="C13" t="s">
        <v>571</v>
      </c>
      <c r="D13">
        <v>15</v>
      </c>
      <c r="E13">
        <v>104</v>
      </c>
      <c r="F13">
        <v>15</v>
      </c>
      <c r="G13" t="s">
        <v>578</v>
      </c>
      <c r="H13">
        <v>1560</v>
      </c>
    </row>
    <row r="14" spans="1:8" x14ac:dyDescent="0.25">
      <c r="A14" t="s">
        <v>25</v>
      </c>
      <c r="B14" t="s">
        <v>513</v>
      </c>
      <c r="C14" t="s">
        <v>565</v>
      </c>
      <c r="D14">
        <v>5</v>
      </c>
      <c r="E14">
        <v>3</v>
      </c>
      <c r="F14">
        <v>0</v>
      </c>
      <c r="G14" t="s">
        <v>581</v>
      </c>
      <c r="H14">
        <v>15</v>
      </c>
    </row>
    <row r="15" spans="1:8" x14ac:dyDescent="0.25">
      <c r="A15" t="s">
        <v>26</v>
      </c>
      <c r="B15" t="s">
        <v>514</v>
      </c>
      <c r="C15" t="s">
        <v>565</v>
      </c>
      <c r="D15">
        <v>16</v>
      </c>
      <c r="E15">
        <v>1</v>
      </c>
      <c r="F15">
        <v>15</v>
      </c>
      <c r="G15" t="s">
        <v>580</v>
      </c>
      <c r="H15">
        <v>16</v>
      </c>
    </row>
    <row r="16" spans="1:8" x14ac:dyDescent="0.25">
      <c r="A16" t="s">
        <v>27</v>
      </c>
      <c r="B16" t="s">
        <v>512</v>
      </c>
      <c r="C16" t="s">
        <v>569</v>
      </c>
      <c r="D16">
        <v>8</v>
      </c>
      <c r="E16">
        <v>491</v>
      </c>
      <c r="F16">
        <v>5</v>
      </c>
      <c r="G16" t="s">
        <v>579</v>
      </c>
      <c r="H16">
        <v>3928</v>
      </c>
    </row>
    <row r="17" spans="1:8" x14ac:dyDescent="0.25">
      <c r="A17" t="s">
        <v>28</v>
      </c>
      <c r="B17" t="s">
        <v>511</v>
      </c>
      <c r="C17" t="s">
        <v>565</v>
      </c>
      <c r="D17">
        <v>12</v>
      </c>
      <c r="E17">
        <v>9</v>
      </c>
      <c r="F17">
        <v>0</v>
      </c>
      <c r="G17" t="s">
        <v>581</v>
      </c>
      <c r="H17">
        <v>108</v>
      </c>
    </row>
    <row r="18" spans="1:8" x14ac:dyDescent="0.25">
      <c r="A18" t="s">
        <v>29</v>
      </c>
      <c r="B18" t="s">
        <v>511</v>
      </c>
      <c r="C18" t="s">
        <v>568</v>
      </c>
      <c r="D18">
        <v>13</v>
      </c>
      <c r="E18">
        <v>178</v>
      </c>
      <c r="F18">
        <v>10</v>
      </c>
      <c r="G18" t="s">
        <v>579</v>
      </c>
      <c r="H18">
        <v>2314</v>
      </c>
    </row>
    <row r="19" spans="1:8" x14ac:dyDescent="0.25">
      <c r="A19" t="s">
        <v>30</v>
      </c>
      <c r="B19" t="s">
        <v>511</v>
      </c>
      <c r="C19" t="s">
        <v>566</v>
      </c>
      <c r="D19">
        <v>3</v>
      </c>
      <c r="E19">
        <v>218</v>
      </c>
      <c r="F19">
        <v>0</v>
      </c>
      <c r="G19" t="s">
        <v>578</v>
      </c>
      <c r="H19">
        <v>654</v>
      </c>
    </row>
    <row r="20" spans="1:8" x14ac:dyDescent="0.25">
      <c r="A20" t="s">
        <v>31</v>
      </c>
      <c r="B20" t="s">
        <v>512</v>
      </c>
      <c r="C20" t="s">
        <v>572</v>
      </c>
      <c r="D20">
        <v>12</v>
      </c>
      <c r="E20">
        <v>277</v>
      </c>
      <c r="F20">
        <v>0</v>
      </c>
      <c r="G20" t="s">
        <v>579</v>
      </c>
      <c r="H20">
        <v>3324</v>
      </c>
    </row>
    <row r="21" spans="1:8" x14ac:dyDescent="0.25">
      <c r="A21" t="s">
        <v>32</v>
      </c>
      <c r="B21" t="s">
        <v>511</v>
      </c>
      <c r="C21" t="s">
        <v>566</v>
      </c>
      <c r="D21">
        <v>10</v>
      </c>
      <c r="E21">
        <v>288</v>
      </c>
      <c r="F21">
        <v>15</v>
      </c>
      <c r="G21" t="s">
        <v>580</v>
      </c>
      <c r="H21">
        <v>2880</v>
      </c>
    </row>
    <row r="22" spans="1:8" x14ac:dyDescent="0.25">
      <c r="A22" t="s">
        <v>33</v>
      </c>
      <c r="B22" t="s">
        <v>513</v>
      </c>
      <c r="C22" t="s">
        <v>568</v>
      </c>
      <c r="D22">
        <v>4</v>
      </c>
      <c r="E22">
        <v>150</v>
      </c>
      <c r="F22">
        <v>5</v>
      </c>
      <c r="G22" t="s">
        <v>579</v>
      </c>
      <c r="H22">
        <v>600</v>
      </c>
    </row>
    <row r="23" spans="1:8" x14ac:dyDescent="0.25">
      <c r="A23" t="s">
        <v>34</v>
      </c>
      <c r="B23" t="s">
        <v>511</v>
      </c>
      <c r="C23" t="s">
        <v>568</v>
      </c>
      <c r="D23">
        <v>10</v>
      </c>
      <c r="E23">
        <v>436</v>
      </c>
      <c r="F23">
        <v>15</v>
      </c>
      <c r="G23" t="s">
        <v>581</v>
      </c>
      <c r="H23">
        <v>4360</v>
      </c>
    </row>
    <row r="24" spans="1:8" x14ac:dyDescent="0.25">
      <c r="A24" t="s">
        <v>35</v>
      </c>
      <c r="B24" t="s">
        <v>514</v>
      </c>
      <c r="C24" t="s">
        <v>573</v>
      </c>
      <c r="D24">
        <v>8</v>
      </c>
      <c r="E24">
        <v>294</v>
      </c>
      <c r="F24">
        <v>5</v>
      </c>
      <c r="G24" t="s">
        <v>581</v>
      </c>
      <c r="H24">
        <v>2352</v>
      </c>
    </row>
    <row r="25" spans="1:8" x14ac:dyDescent="0.25">
      <c r="A25" t="s">
        <v>36</v>
      </c>
      <c r="B25" t="s">
        <v>512</v>
      </c>
      <c r="C25" t="s">
        <v>574</v>
      </c>
      <c r="D25">
        <v>19</v>
      </c>
      <c r="E25">
        <v>58</v>
      </c>
      <c r="F25">
        <v>5</v>
      </c>
      <c r="G25" t="s">
        <v>581</v>
      </c>
      <c r="H25">
        <v>1102</v>
      </c>
    </row>
    <row r="26" spans="1:8" x14ac:dyDescent="0.25">
      <c r="A26" t="s">
        <v>37</v>
      </c>
      <c r="B26" t="s">
        <v>511</v>
      </c>
      <c r="C26" t="s">
        <v>567</v>
      </c>
      <c r="D26">
        <v>19</v>
      </c>
      <c r="E26">
        <v>1066</v>
      </c>
      <c r="F26">
        <v>10</v>
      </c>
      <c r="G26" t="s">
        <v>581</v>
      </c>
      <c r="H26">
        <v>20254</v>
      </c>
    </row>
    <row r="27" spans="1:8" x14ac:dyDescent="0.25">
      <c r="A27" t="s">
        <v>38</v>
      </c>
      <c r="B27" t="s">
        <v>511</v>
      </c>
      <c r="C27" t="s">
        <v>569</v>
      </c>
      <c r="D27">
        <v>4</v>
      </c>
      <c r="E27">
        <v>752</v>
      </c>
      <c r="F27">
        <v>15</v>
      </c>
      <c r="G27" t="s">
        <v>581</v>
      </c>
      <c r="H27">
        <v>3008</v>
      </c>
    </row>
    <row r="28" spans="1:8" x14ac:dyDescent="0.25">
      <c r="A28" t="s">
        <v>39</v>
      </c>
      <c r="B28" t="s">
        <v>514</v>
      </c>
      <c r="C28" t="s">
        <v>568</v>
      </c>
      <c r="D28">
        <v>15</v>
      </c>
      <c r="E28">
        <v>427</v>
      </c>
      <c r="F28">
        <v>10</v>
      </c>
      <c r="G28" t="s">
        <v>578</v>
      </c>
      <c r="H28">
        <v>6405</v>
      </c>
    </row>
    <row r="29" spans="1:8" x14ac:dyDescent="0.25">
      <c r="A29" t="s">
        <v>40</v>
      </c>
      <c r="B29" t="s">
        <v>513</v>
      </c>
      <c r="C29" t="s">
        <v>572</v>
      </c>
      <c r="D29">
        <v>17</v>
      </c>
      <c r="E29">
        <v>116</v>
      </c>
      <c r="F29">
        <v>10</v>
      </c>
      <c r="G29" t="s">
        <v>579</v>
      </c>
      <c r="H29">
        <v>1972</v>
      </c>
    </row>
    <row r="30" spans="1:8" x14ac:dyDescent="0.25">
      <c r="A30" t="s">
        <v>41</v>
      </c>
      <c r="B30" t="s">
        <v>512</v>
      </c>
      <c r="C30" t="s">
        <v>570</v>
      </c>
      <c r="D30">
        <v>4</v>
      </c>
      <c r="E30">
        <v>6</v>
      </c>
      <c r="F30">
        <v>15</v>
      </c>
      <c r="G30" t="s">
        <v>581</v>
      </c>
      <c r="H30">
        <v>24</v>
      </c>
    </row>
    <row r="31" spans="1:8" x14ac:dyDescent="0.25">
      <c r="A31" t="s">
        <v>42</v>
      </c>
      <c r="B31" t="s">
        <v>512</v>
      </c>
      <c r="C31" t="s">
        <v>566</v>
      </c>
      <c r="D31">
        <v>15</v>
      </c>
      <c r="E31">
        <v>438</v>
      </c>
      <c r="F31">
        <v>0</v>
      </c>
      <c r="G31" t="s">
        <v>580</v>
      </c>
      <c r="H31">
        <v>6570</v>
      </c>
    </row>
    <row r="32" spans="1:8" x14ac:dyDescent="0.25">
      <c r="A32" t="s">
        <v>43</v>
      </c>
      <c r="B32" t="s">
        <v>513</v>
      </c>
      <c r="C32" t="s">
        <v>572</v>
      </c>
      <c r="D32">
        <v>19</v>
      </c>
      <c r="E32">
        <v>161</v>
      </c>
      <c r="F32">
        <v>10</v>
      </c>
      <c r="G32" t="s">
        <v>581</v>
      </c>
      <c r="H32">
        <v>3059</v>
      </c>
    </row>
    <row r="33" spans="1:8" x14ac:dyDescent="0.25">
      <c r="A33" t="s">
        <v>44</v>
      </c>
      <c r="B33" t="s">
        <v>511</v>
      </c>
      <c r="C33" t="s">
        <v>572</v>
      </c>
      <c r="D33">
        <v>5</v>
      </c>
      <c r="E33">
        <v>293</v>
      </c>
      <c r="F33">
        <v>5</v>
      </c>
      <c r="G33" t="s">
        <v>580</v>
      </c>
      <c r="H33">
        <v>1465</v>
      </c>
    </row>
    <row r="34" spans="1:8" x14ac:dyDescent="0.25">
      <c r="A34" t="s">
        <v>45</v>
      </c>
      <c r="B34" t="s">
        <v>511</v>
      </c>
      <c r="C34" t="s">
        <v>569</v>
      </c>
      <c r="D34">
        <v>20</v>
      </c>
      <c r="E34">
        <v>926</v>
      </c>
      <c r="F34">
        <v>10</v>
      </c>
      <c r="G34" t="s">
        <v>578</v>
      </c>
      <c r="H34">
        <v>18520</v>
      </c>
    </row>
    <row r="35" spans="1:8" x14ac:dyDescent="0.25">
      <c r="A35" t="s">
        <v>46</v>
      </c>
      <c r="B35" t="s">
        <v>511</v>
      </c>
      <c r="C35" t="s">
        <v>568</v>
      </c>
      <c r="D35">
        <v>5</v>
      </c>
      <c r="E35">
        <v>112</v>
      </c>
      <c r="F35">
        <v>0</v>
      </c>
      <c r="G35" t="s">
        <v>578</v>
      </c>
      <c r="H35">
        <v>560</v>
      </c>
    </row>
    <row r="36" spans="1:8" x14ac:dyDescent="0.25">
      <c r="A36" t="s">
        <v>47</v>
      </c>
      <c r="B36" t="s">
        <v>512</v>
      </c>
      <c r="C36" t="s">
        <v>567</v>
      </c>
      <c r="D36">
        <v>13</v>
      </c>
      <c r="E36">
        <v>959</v>
      </c>
      <c r="F36">
        <v>10</v>
      </c>
      <c r="G36" t="s">
        <v>578</v>
      </c>
      <c r="H36">
        <v>12467</v>
      </c>
    </row>
    <row r="37" spans="1:8" x14ac:dyDescent="0.25">
      <c r="A37" t="s">
        <v>48</v>
      </c>
      <c r="B37" t="s">
        <v>514</v>
      </c>
      <c r="C37" t="s">
        <v>571</v>
      </c>
      <c r="D37">
        <v>1</v>
      </c>
      <c r="E37">
        <v>138</v>
      </c>
      <c r="F37">
        <v>10</v>
      </c>
      <c r="G37" t="s">
        <v>581</v>
      </c>
      <c r="H37">
        <v>138</v>
      </c>
    </row>
    <row r="38" spans="1:8" x14ac:dyDescent="0.25">
      <c r="A38" t="s">
        <v>49</v>
      </c>
      <c r="B38" t="s">
        <v>513</v>
      </c>
      <c r="C38" t="s">
        <v>573</v>
      </c>
      <c r="D38">
        <v>13</v>
      </c>
      <c r="E38">
        <v>207</v>
      </c>
      <c r="F38">
        <v>10</v>
      </c>
      <c r="G38" t="s">
        <v>581</v>
      </c>
      <c r="H38">
        <v>2691</v>
      </c>
    </row>
    <row r="39" spans="1:8" x14ac:dyDescent="0.25">
      <c r="A39" t="s">
        <v>50</v>
      </c>
      <c r="B39" t="s">
        <v>514</v>
      </c>
      <c r="C39" t="s">
        <v>567</v>
      </c>
      <c r="D39">
        <v>15</v>
      </c>
      <c r="E39">
        <v>1064</v>
      </c>
      <c r="F39">
        <v>5</v>
      </c>
      <c r="G39" t="s">
        <v>578</v>
      </c>
      <c r="H39">
        <v>15960</v>
      </c>
    </row>
    <row r="40" spans="1:8" x14ac:dyDescent="0.25">
      <c r="A40" t="s">
        <v>51</v>
      </c>
      <c r="B40" t="s">
        <v>513</v>
      </c>
      <c r="C40" t="s">
        <v>572</v>
      </c>
      <c r="D40">
        <v>11</v>
      </c>
      <c r="E40">
        <v>82</v>
      </c>
      <c r="F40">
        <v>15</v>
      </c>
      <c r="G40" t="s">
        <v>581</v>
      </c>
      <c r="H40">
        <v>902</v>
      </c>
    </row>
    <row r="41" spans="1:8" x14ac:dyDescent="0.25">
      <c r="A41" t="s">
        <v>52</v>
      </c>
      <c r="B41" t="s">
        <v>514</v>
      </c>
      <c r="C41" t="s">
        <v>573</v>
      </c>
      <c r="D41">
        <v>12</v>
      </c>
      <c r="E41">
        <v>303</v>
      </c>
      <c r="F41">
        <v>0</v>
      </c>
      <c r="G41" t="s">
        <v>579</v>
      </c>
      <c r="H41">
        <v>3636</v>
      </c>
    </row>
    <row r="42" spans="1:8" x14ac:dyDescent="0.25">
      <c r="A42" t="s">
        <v>53</v>
      </c>
      <c r="B42" t="s">
        <v>514</v>
      </c>
      <c r="C42" t="s">
        <v>568</v>
      </c>
      <c r="D42">
        <v>2</v>
      </c>
      <c r="E42">
        <v>181</v>
      </c>
      <c r="F42">
        <v>15</v>
      </c>
      <c r="G42" t="s">
        <v>578</v>
      </c>
      <c r="H42">
        <v>362</v>
      </c>
    </row>
    <row r="43" spans="1:8" x14ac:dyDescent="0.25">
      <c r="A43" t="s">
        <v>54</v>
      </c>
      <c r="B43" t="s">
        <v>513</v>
      </c>
      <c r="C43" t="s">
        <v>566</v>
      </c>
      <c r="D43">
        <v>16</v>
      </c>
      <c r="E43">
        <v>120</v>
      </c>
      <c r="F43">
        <v>15</v>
      </c>
      <c r="G43" t="s">
        <v>578</v>
      </c>
      <c r="H43">
        <v>1920</v>
      </c>
    </row>
    <row r="44" spans="1:8" x14ac:dyDescent="0.25">
      <c r="A44" t="s">
        <v>55</v>
      </c>
      <c r="B44" t="s">
        <v>513</v>
      </c>
      <c r="C44" t="s">
        <v>568</v>
      </c>
      <c r="D44">
        <v>18</v>
      </c>
      <c r="E44">
        <v>381</v>
      </c>
      <c r="F44">
        <v>5</v>
      </c>
      <c r="G44" t="s">
        <v>579</v>
      </c>
      <c r="H44">
        <v>6858</v>
      </c>
    </row>
    <row r="45" spans="1:8" x14ac:dyDescent="0.25">
      <c r="A45" t="s">
        <v>56</v>
      </c>
      <c r="B45" t="s">
        <v>513</v>
      </c>
      <c r="C45" t="s">
        <v>572</v>
      </c>
      <c r="D45">
        <v>20</v>
      </c>
      <c r="E45">
        <v>279</v>
      </c>
      <c r="F45">
        <v>10</v>
      </c>
      <c r="G45" t="s">
        <v>578</v>
      </c>
      <c r="H45">
        <v>5580</v>
      </c>
    </row>
    <row r="46" spans="1:8" x14ac:dyDescent="0.25">
      <c r="A46" t="s">
        <v>57</v>
      </c>
      <c r="B46" t="s">
        <v>514</v>
      </c>
      <c r="C46" t="s">
        <v>565</v>
      </c>
      <c r="D46">
        <v>10</v>
      </c>
      <c r="E46">
        <v>10</v>
      </c>
      <c r="F46">
        <v>15</v>
      </c>
      <c r="G46" t="s">
        <v>579</v>
      </c>
      <c r="H46">
        <v>100</v>
      </c>
    </row>
    <row r="47" spans="1:8" x14ac:dyDescent="0.25">
      <c r="A47" t="s">
        <v>58</v>
      </c>
      <c r="B47" t="s">
        <v>513</v>
      </c>
      <c r="C47" t="s">
        <v>566</v>
      </c>
      <c r="D47">
        <v>18</v>
      </c>
      <c r="E47">
        <v>103</v>
      </c>
      <c r="F47">
        <v>5</v>
      </c>
      <c r="G47" t="s">
        <v>581</v>
      </c>
      <c r="H47">
        <v>1854</v>
      </c>
    </row>
    <row r="48" spans="1:8" x14ac:dyDescent="0.25">
      <c r="A48" t="s">
        <v>59</v>
      </c>
      <c r="B48" t="s">
        <v>511</v>
      </c>
      <c r="C48" t="s">
        <v>565</v>
      </c>
      <c r="D48">
        <v>4</v>
      </c>
      <c r="E48">
        <v>4</v>
      </c>
      <c r="F48">
        <v>10</v>
      </c>
      <c r="G48" t="s">
        <v>579</v>
      </c>
      <c r="H48">
        <v>16</v>
      </c>
    </row>
    <row r="49" spans="1:8" x14ac:dyDescent="0.25">
      <c r="A49" t="s">
        <v>60</v>
      </c>
      <c r="B49" t="s">
        <v>513</v>
      </c>
      <c r="C49" t="s">
        <v>566</v>
      </c>
      <c r="D49">
        <v>18</v>
      </c>
      <c r="E49">
        <v>250</v>
      </c>
      <c r="F49">
        <v>15</v>
      </c>
      <c r="G49" t="s">
        <v>581</v>
      </c>
      <c r="H49">
        <v>4500</v>
      </c>
    </row>
    <row r="50" spans="1:8" x14ac:dyDescent="0.25">
      <c r="A50" t="s">
        <v>61</v>
      </c>
      <c r="B50" t="s">
        <v>514</v>
      </c>
      <c r="C50" t="s">
        <v>571</v>
      </c>
      <c r="D50">
        <v>20</v>
      </c>
      <c r="E50">
        <v>273</v>
      </c>
      <c r="F50">
        <v>5</v>
      </c>
      <c r="G50" t="s">
        <v>580</v>
      </c>
      <c r="H50">
        <v>5460</v>
      </c>
    </row>
    <row r="51" spans="1:8" x14ac:dyDescent="0.25">
      <c r="A51" t="s">
        <v>62</v>
      </c>
      <c r="B51" t="s">
        <v>512</v>
      </c>
      <c r="C51" t="s">
        <v>574</v>
      </c>
      <c r="D51">
        <v>3</v>
      </c>
      <c r="E51">
        <v>137</v>
      </c>
      <c r="F51">
        <v>5</v>
      </c>
      <c r="G51" t="s">
        <v>581</v>
      </c>
      <c r="H51">
        <v>411</v>
      </c>
    </row>
    <row r="52" spans="1:8" x14ac:dyDescent="0.25">
      <c r="A52" t="s">
        <v>63</v>
      </c>
      <c r="B52" t="s">
        <v>514</v>
      </c>
      <c r="C52" t="s">
        <v>573</v>
      </c>
      <c r="D52">
        <v>9</v>
      </c>
      <c r="E52">
        <v>201</v>
      </c>
      <c r="F52">
        <v>5</v>
      </c>
      <c r="G52" t="s">
        <v>580</v>
      </c>
      <c r="H52">
        <v>1809</v>
      </c>
    </row>
    <row r="53" spans="1:8" x14ac:dyDescent="0.25">
      <c r="A53" t="s">
        <v>64</v>
      </c>
      <c r="B53" t="s">
        <v>512</v>
      </c>
      <c r="C53" t="s">
        <v>565</v>
      </c>
      <c r="D53">
        <v>14</v>
      </c>
      <c r="E53">
        <v>2</v>
      </c>
      <c r="F53">
        <v>15</v>
      </c>
      <c r="G53" t="s">
        <v>580</v>
      </c>
      <c r="H53">
        <v>28</v>
      </c>
    </row>
    <row r="54" spans="1:8" x14ac:dyDescent="0.25">
      <c r="A54" t="s">
        <v>65</v>
      </c>
      <c r="B54" t="s">
        <v>511</v>
      </c>
      <c r="C54" t="s">
        <v>573</v>
      </c>
      <c r="D54">
        <v>16</v>
      </c>
      <c r="E54">
        <v>151</v>
      </c>
      <c r="F54">
        <v>15</v>
      </c>
      <c r="G54" t="s">
        <v>581</v>
      </c>
      <c r="H54">
        <v>2416</v>
      </c>
    </row>
    <row r="55" spans="1:8" x14ac:dyDescent="0.25">
      <c r="A55" t="s">
        <v>66</v>
      </c>
      <c r="B55" t="s">
        <v>511</v>
      </c>
      <c r="C55" t="s">
        <v>571</v>
      </c>
      <c r="D55">
        <v>11</v>
      </c>
      <c r="E55">
        <v>286</v>
      </c>
      <c r="F55">
        <v>10</v>
      </c>
      <c r="G55" t="s">
        <v>580</v>
      </c>
      <c r="H55">
        <v>3146</v>
      </c>
    </row>
    <row r="56" spans="1:8" x14ac:dyDescent="0.25">
      <c r="A56" t="s">
        <v>67</v>
      </c>
      <c r="B56" t="s">
        <v>512</v>
      </c>
      <c r="C56" t="s">
        <v>574</v>
      </c>
      <c r="D56">
        <v>9</v>
      </c>
      <c r="E56">
        <v>104</v>
      </c>
      <c r="F56">
        <v>10</v>
      </c>
      <c r="G56" t="s">
        <v>579</v>
      </c>
      <c r="H56">
        <v>936</v>
      </c>
    </row>
    <row r="57" spans="1:8" x14ac:dyDescent="0.25">
      <c r="A57" t="s">
        <v>68</v>
      </c>
      <c r="B57" t="s">
        <v>514</v>
      </c>
      <c r="C57" t="s">
        <v>565</v>
      </c>
      <c r="D57">
        <v>8</v>
      </c>
      <c r="E57">
        <v>5</v>
      </c>
      <c r="F57">
        <v>10</v>
      </c>
      <c r="G57" t="s">
        <v>580</v>
      </c>
      <c r="H57">
        <v>40</v>
      </c>
    </row>
    <row r="58" spans="1:8" x14ac:dyDescent="0.25">
      <c r="A58" t="s">
        <v>69</v>
      </c>
      <c r="B58" t="s">
        <v>514</v>
      </c>
      <c r="C58" t="s">
        <v>566</v>
      </c>
      <c r="D58">
        <v>16</v>
      </c>
      <c r="E58">
        <v>189</v>
      </c>
      <c r="F58">
        <v>0</v>
      </c>
      <c r="G58" t="s">
        <v>580</v>
      </c>
      <c r="H58">
        <v>3024</v>
      </c>
    </row>
    <row r="59" spans="1:8" x14ac:dyDescent="0.25">
      <c r="A59" t="s">
        <v>70</v>
      </c>
      <c r="B59" t="s">
        <v>513</v>
      </c>
      <c r="C59" t="s">
        <v>572</v>
      </c>
      <c r="D59">
        <v>3</v>
      </c>
      <c r="E59">
        <v>289</v>
      </c>
      <c r="F59">
        <v>5</v>
      </c>
      <c r="G59" t="s">
        <v>578</v>
      </c>
      <c r="H59">
        <v>867</v>
      </c>
    </row>
    <row r="60" spans="1:8" x14ac:dyDescent="0.25">
      <c r="A60" t="s">
        <v>71</v>
      </c>
      <c r="B60" t="s">
        <v>511</v>
      </c>
      <c r="C60" t="s">
        <v>570</v>
      </c>
      <c r="D60">
        <v>18</v>
      </c>
      <c r="E60">
        <v>13</v>
      </c>
      <c r="F60">
        <v>10</v>
      </c>
      <c r="G60" t="s">
        <v>578</v>
      </c>
      <c r="H60">
        <v>234</v>
      </c>
    </row>
    <row r="61" spans="1:8" x14ac:dyDescent="0.25">
      <c r="A61" t="s">
        <v>72</v>
      </c>
      <c r="B61" t="s">
        <v>512</v>
      </c>
      <c r="C61" t="s">
        <v>569</v>
      </c>
      <c r="D61">
        <v>20</v>
      </c>
      <c r="E61">
        <v>896</v>
      </c>
      <c r="F61">
        <v>5</v>
      </c>
      <c r="G61" t="s">
        <v>579</v>
      </c>
      <c r="H61">
        <v>17920</v>
      </c>
    </row>
    <row r="62" spans="1:8" x14ac:dyDescent="0.25">
      <c r="A62" t="s">
        <v>73</v>
      </c>
      <c r="B62" t="s">
        <v>513</v>
      </c>
      <c r="C62" t="s">
        <v>567</v>
      </c>
      <c r="D62">
        <v>6</v>
      </c>
      <c r="E62">
        <v>1496</v>
      </c>
      <c r="F62">
        <v>0</v>
      </c>
      <c r="G62" t="s">
        <v>579</v>
      </c>
      <c r="H62">
        <v>8976</v>
      </c>
    </row>
    <row r="63" spans="1:8" x14ac:dyDescent="0.25">
      <c r="A63" t="s">
        <v>74</v>
      </c>
      <c r="B63" t="s">
        <v>514</v>
      </c>
      <c r="C63" t="s">
        <v>571</v>
      </c>
      <c r="D63">
        <v>11</v>
      </c>
      <c r="E63">
        <v>296</v>
      </c>
      <c r="F63">
        <v>10</v>
      </c>
      <c r="G63" t="s">
        <v>578</v>
      </c>
      <c r="H63">
        <v>3256</v>
      </c>
    </row>
    <row r="64" spans="1:8" x14ac:dyDescent="0.25">
      <c r="A64" t="s">
        <v>75</v>
      </c>
      <c r="B64" t="s">
        <v>514</v>
      </c>
      <c r="C64" t="s">
        <v>570</v>
      </c>
      <c r="D64">
        <v>20</v>
      </c>
      <c r="E64">
        <v>8</v>
      </c>
      <c r="F64">
        <v>5</v>
      </c>
      <c r="G64" t="s">
        <v>580</v>
      </c>
      <c r="H64">
        <v>160</v>
      </c>
    </row>
    <row r="65" spans="1:8" x14ac:dyDescent="0.25">
      <c r="A65" t="s">
        <v>76</v>
      </c>
      <c r="B65" t="s">
        <v>511</v>
      </c>
      <c r="C65" t="s">
        <v>571</v>
      </c>
      <c r="D65">
        <v>19</v>
      </c>
      <c r="E65">
        <v>140</v>
      </c>
      <c r="F65">
        <v>0</v>
      </c>
      <c r="G65" t="s">
        <v>579</v>
      </c>
      <c r="H65">
        <v>2660</v>
      </c>
    </row>
    <row r="66" spans="1:8" x14ac:dyDescent="0.25">
      <c r="A66" t="s">
        <v>77</v>
      </c>
      <c r="B66" t="s">
        <v>513</v>
      </c>
      <c r="C66" t="s">
        <v>571</v>
      </c>
      <c r="D66">
        <v>10</v>
      </c>
      <c r="E66">
        <v>300</v>
      </c>
      <c r="F66">
        <v>5</v>
      </c>
      <c r="G66" t="s">
        <v>579</v>
      </c>
      <c r="H66">
        <v>3000</v>
      </c>
    </row>
    <row r="67" spans="1:8" x14ac:dyDescent="0.25">
      <c r="A67" t="s">
        <v>78</v>
      </c>
      <c r="B67" t="s">
        <v>511</v>
      </c>
      <c r="C67" t="s">
        <v>574</v>
      </c>
      <c r="D67">
        <v>9</v>
      </c>
      <c r="E67">
        <v>119</v>
      </c>
      <c r="F67">
        <v>15</v>
      </c>
      <c r="G67" t="s">
        <v>578</v>
      </c>
      <c r="H67">
        <v>1071</v>
      </c>
    </row>
    <row r="68" spans="1:8" x14ac:dyDescent="0.25">
      <c r="A68" t="s">
        <v>79</v>
      </c>
      <c r="B68" t="s">
        <v>513</v>
      </c>
      <c r="C68" t="s">
        <v>565</v>
      </c>
      <c r="D68">
        <v>8</v>
      </c>
      <c r="E68">
        <v>10</v>
      </c>
      <c r="F68">
        <v>0</v>
      </c>
      <c r="G68" t="s">
        <v>579</v>
      </c>
      <c r="H68">
        <v>80</v>
      </c>
    </row>
    <row r="69" spans="1:8" x14ac:dyDescent="0.25">
      <c r="A69" t="s">
        <v>80</v>
      </c>
      <c r="B69" t="s">
        <v>514</v>
      </c>
      <c r="C69" t="s">
        <v>568</v>
      </c>
      <c r="D69">
        <v>4</v>
      </c>
      <c r="E69">
        <v>265</v>
      </c>
      <c r="F69">
        <v>5</v>
      </c>
      <c r="G69" t="s">
        <v>579</v>
      </c>
      <c r="H69">
        <v>1060</v>
      </c>
    </row>
    <row r="70" spans="1:8" x14ac:dyDescent="0.25">
      <c r="A70" t="s">
        <v>81</v>
      </c>
      <c r="B70" t="s">
        <v>513</v>
      </c>
      <c r="C70" t="s">
        <v>574</v>
      </c>
      <c r="D70">
        <v>18</v>
      </c>
      <c r="E70">
        <v>50</v>
      </c>
      <c r="F70">
        <v>0</v>
      </c>
      <c r="G70" t="s">
        <v>581</v>
      </c>
      <c r="H70">
        <v>900</v>
      </c>
    </row>
    <row r="71" spans="1:8" x14ac:dyDescent="0.25">
      <c r="A71" t="s">
        <v>82</v>
      </c>
      <c r="B71" t="s">
        <v>512</v>
      </c>
      <c r="C71" t="s">
        <v>567</v>
      </c>
      <c r="D71">
        <v>14</v>
      </c>
      <c r="E71">
        <v>1064</v>
      </c>
      <c r="F71">
        <v>5</v>
      </c>
      <c r="G71" t="s">
        <v>581</v>
      </c>
      <c r="H71">
        <v>14896</v>
      </c>
    </row>
    <row r="72" spans="1:8" x14ac:dyDescent="0.25">
      <c r="A72" t="s">
        <v>83</v>
      </c>
      <c r="B72" t="s">
        <v>514</v>
      </c>
      <c r="C72" t="s">
        <v>568</v>
      </c>
      <c r="D72">
        <v>12</v>
      </c>
      <c r="E72">
        <v>296</v>
      </c>
      <c r="F72">
        <v>0</v>
      </c>
      <c r="G72" t="s">
        <v>581</v>
      </c>
      <c r="H72">
        <v>3552</v>
      </c>
    </row>
    <row r="73" spans="1:8" x14ac:dyDescent="0.25">
      <c r="A73" t="s">
        <v>84</v>
      </c>
      <c r="B73" t="s">
        <v>513</v>
      </c>
      <c r="C73" t="s">
        <v>569</v>
      </c>
      <c r="D73">
        <v>17</v>
      </c>
      <c r="E73">
        <v>481</v>
      </c>
      <c r="F73">
        <v>5</v>
      </c>
      <c r="G73" t="s">
        <v>578</v>
      </c>
      <c r="H73">
        <v>8177</v>
      </c>
    </row>
    <row r="74" spans="1:8" x14ac:dyDescent="0.25">
      <c r="A74" t="s">
        <v>85</v>
      </c>
      <c r="B74" t="s">
        <v>513</v>
      </c>
      <c r="C74" t="s">
        <v>566</v>
      </c>
      <c r="D74">
        <v>16</v>
      </c>
      <c r="E74">
        <v>319</v>
      </c>
      <c r="F74">
        <v>15</v>
      </c>
      <c r="G74" t="s">
        <v>580</v>
      </c>
      <c r="H74">
        <v>5104</v>
      </c>
    </row>
    <row r="75" spans="1:8" x14ac:dyDescent="0.25">
      <c r="A75" t="s">
        <v>86</v>
      </c>
      <c r="B75" t="s">
        <v>512</v>
      </c>
      <c r="C75" t="s">
        <v>573</v>
      </c>
      <c r="D75">
        <v>20</v>
      </c>
      <c r="E75">
        <v>148</v>
      </c>
      <c r="F75">
        <v>5</v>
      </c>
      <c r="G75" t="s">
        <v>581</v>
      </c>
      <c r="H75">
        <v>2960</v>
      </c>
    </row>
    <row r="76" spans="1:8" x14ac:dyDescent="0.25">
      <c r="A76" t="s">
        <v>87</v>
      </c>
      <c r="B76" t="s">
        <v>511</v>
      </c>
      <c r="C76" t="s">
        <v>572</v>
      </c>
      <c r="D76">
        <v>2</v>
      </c>
      <c r="E76">
        <v>178</v>
      </c>
      <c r="F76">
        <v>15</v>
      </c>
      <c r="G76" t="s">
        <v>580</v>
      </c>
      <c r="H76">
        <v>356</v>
      </c>
    </row>
    <row r="77" spans="1:8" x14ac:dyDescent="0.25">
      <c r="A77" t="s">
        <v>88</v>
      </c>
      <c r="B77" t="s">
        <v>514</v>
      </c>
      <c r="C77" t="s">
        <v>566</v>
      </c>
      <c r="D77">
        <v>20</v>
      </c>
      <c r="E77">
        <v>323</v>
      </c>
      <c r="F77">
        <v>0</v>
      </c>
      <c r="G77" t="s">
        <v>579</v>
      </c>
      <c r="H77">
        <v>6460</v>
      </c>
    </row>
    <row r="78" spans="1:8" x14ac:dyDescent="0.25">
      <c r="A78" t="s">
        <v>89</v>
      </c>
      <c r="B78" t="s">
        <v>511</v>
      </c>
      <c r="C78" t="s">
        <v>565</v>
      </c>
      <c r="D78">
        <v>12</v>
      </c>
      <c r="E78">
        <v>9</v>
      </c>
      <c r="F78">
        <v>15</v>
      </c>
      <c r="G78" t="s">
        <v>579</v>
      </c>
      <c r="H78">
        <v>108</v>
      </c>
    </row>
    <row r="79" spans="1:8" x14ac:dyDescent="0.25">
      <c r="A79" t="s">
        <v>90</v>
      </c>
      <c r="B79" t="s">
        <v>513</v>
      </c>
      <c r="C79" t="s">
        <v>568</v>
      </c>
      <c r="D79">
        <v>6</v>
      </c>
      <c r="E79">
        <v>254</v>
      </c>
      <c r="F79">
        <v>15</v>
      </c>
      <c r="G79" t="s">
        <v>580</v>
      </c>
      <c r="H79">
        <v>1524</v>
      </c>
    </row>
    <row r="80" spans="1:8" x14ac:dyDescent="0.25">
      <c r="A80" t="s">
        <v>91</v>
      </c>
      <c r="B80" t="s">
        <v>512</v>
      </c>
      <c r="C80" t="s">
        <v>569</v>
      </c>
      <c r="D80">
        <v>13</v>
      </c>
      <c r="E80">
        <v>591</v>
      </c>
      <c r="F80">
        <v>10</v>
      </c>
      <c r="G80" t="s">
        <v>581</v>
      </c>
      <c r="H80">
        <v>7683</v>
      </c>
    </row>
    <row r="81" spans="1:8" x14ac:dyDescent="0.25">
      <c r="A81" t="s">
        <v>92</v>
      </c>
      <c r="B81" t="s">
        <v>511</v>
      </c>
      <c r="C81" t="s">
        <v>570</v>
      </c>
      <c r="D81">
        <v>10</v>
      </c>
      <c r="E81">
        <v>7</v>
      </c>
      <c r="F81">
        <v>5</v>
      </c>
      <c r="G81" t="s">
        <v>581</v>
      </c>
      <c r="H81">
        <v>70</v>
      </c>
    </row>
    <row r="82" spans="1:8" x14ac:dyDescent="0.25">
      <c r="A82" t="s">
        <v>93</v>
      </c>
      <c r="B82" t="s">
        <v>513</v>
      </c>
      <c r="C82" t="s">
        <v>565</v>
      </c>
      <c r="D82">
        <v>18</v>
      </c>
      <c r="E82">
        <v>10</v>
      </c>
      <c r="F82">
        <v>15</v>
      </c>
      <c r="G82" t="s">
        <v>581</v>
      </c>
      <c r="H82">
        <v>180</v>
      </c>
    </row>
    <row r="83" spans="1:8" x14ac:dyDescent="0.25">
      <c r="A83" t="s">
        <v>94</v>
      </c>
      <c r="B83" t="s">
        <v>511</v>
      </c>
      <c r="C83" t="s">
        <v>566</v>
      </c>
      <c r="D83">
        <v>11</v>
      </c>
      <c r="E83">
        <v>301</v>
      </c>
      <c r="F83">
        <v>15</v>
      </c>
      <c r="G83" t="s">
        <v>579</v>
      </c>
      <c r="H83">
        <v>3311</v>
      </c>
    </row>
    <row r="84" spans="1:8" x14ac:dyDescent="0.25">
      <c r="A84" t="s">
        <v>95</v>
      </c>
      <c r="B84" t="s">
        <v>513</v>
      </c>
      <c r="C84" t="s">
        <v>572</v>
      </c>
      <c r="D84">
        <v>17</v>
      </c>
      <c r="E84">
        <v>101</v>
      </c>
      <c r="F84">
        <v>5</v>
      </c>
      <c r="G84" t="s">
        <v>578</v>
      </c>
      <c r="H84">
        <v>1717</v>
      </c>
    </row>
    <row r="85" spans="1:8" x14ac:dyDescent="0.25">
      <c r="A85" t="s">
        <v>96</v>
      </c>
      <c r="B85" t="s">
        <v>514</v>
      </c>
      <c r="C85" t="s">
        <v>569</v>
      </c>
      <c r="D85">
        <v>1</v>
      </c>
      <c r="E85">
        <v>494</v>
      </c>
      <c r="F85">
        <v>10</v>
      </c>
      <c r="G85" t="s">
        <v>578</v>
      </c>
      <c r="H85">
        <v>494</v>
      </c>
    </row>
    <row r="86" spans="1:8" x14ac:dyDescent="0.25">
      <c r="A86" t="s">
        <v>97</v>
      </c>
      <c r="B86" t="s">
        <v>514</v>
      </c>
      <c r="C86" t="s">
        <v>572</v>
      </c>
      <c r="D86">
        <v>16</v>
      </c>
      <c r="E86">
        <v>91</v>
      </c>
      <c r="F86">
        <v>5</v>
      </c>
      <c r="G86" t="s">
        <v>581</v>
      </c>
      <c r="H86">
        <v>1456</v>
      </c>
    </row>
    <row r="87" spans="1:8" x14ac:dyDescent="0.25">
      <c r="A87" t="s">
        <v>98</v>
      </c>
      <c r="B87" t="s">
        <v>511</v>
      </c>
      <c r="C87" t="s">
        <v>568</v>
      </c>
      <c r="D87">
        <v>10</v>
      </c>
      <c r="E87">
        <v>339</v>
      </c>
      <c r="F87">
        <v>15</v>
      </c>
      <c r="G87" t="s">
        <v>580</v>
      </c>
      <c r="H87">
        <v>3390</v>
      </c>
    </row>
    <row r="88" spans="1:8" x14ac:dyDescent="0.25">
      <c r="A88" t="s">
        <v>99</v>
      </c>
      <c r="B88" t="s">
        <v>513</v>
      </c>
      <c r="C88" t="s">
        <v>569</v>
      </c>
      <c r="D88">
        <v>9</v>
      </c>
      <c r="E88">
        <v>619</v>
      </c>
      <c r="F88">
        <v>0</v>
      </c>
      <c r="G88" t="s">
        <v>580</v>
      </c>
      <c r="H88">
        <v>5571</v>
      </c>
    </row>
    <row r="89" spans="1:8" x14ac:dyDescent="0.25">
      <c r="A89" t="s">
        <v>100</v>
      </c>
      <c r="B89" t="s">
        <v>514</v>
      </c>
      <c r="C89" t="s">
        <v>566</v>
      </c>
      <c r="D89">
        <v>16</v>
      </c>
      <c r="E89">
        <v>196</v>
      </c>
      <c r="F89">
        <v>15</v>
      </c>
      <c r="G89" t="s">
        <v>580</v>
      </c>
      <c r="H89">
        <v>3136</v>
      </c>
    </row>
    <row r="90" spans="1:8" x14ac:dyDescent="0.25">
      <c r="A90" t="s">
        <v>101</v>
      </c>
      <c r="B90" t="s">
        <v>513</v>
      </c>
      <c r="C90" t="s">
        <v>571</v>
      </c>
      <c r="D90">
        <v>8</v>
      </c>
      <c r="E90">
        <v>184</v>
      </c>
      <c r="F90">
        <v>5</v>
      </c>
      <c r="G90" t="s">
        <v>579</v>
      </c>
      <c r="H90">
        <v>1472</v>
      </c>
    </row>
    <row r="91" spans="1:8" x14ac:dyDescent="0.25">
      <c r="A91" t="s">
        <v>102</v>
      </c>
      <c r="B91" t="s">
        <v>511</v>
      </c>
      <c r="C91" t="s">
        <v>566</v>
      </c>
      <c r="D91">
        <v>3</v>
      </c>
      <c r="E91">
        <v>287</v>
      </c>
      <c r="F91">
        <v>5</v>
      </c>
      <c r="G91" t="s">
        <v>578</v>
      </c>
      <c r="H91">
        <v>861</v>
      </c>
    </row>
    <row r="92" spans="1:8" x14ac:dyDescent="0.25">
      <c r="A92" t="s">
        <v>103</v>
      </c>
      <c r="B92" t="s">
        <v>513</v>
      </c>
      <c r="C92" t="s">
        <v>566</v>
      </c>
      <c r="D92">
        <v>11</v>
      </c>
      <c r="E92">
        <v>496</v>
      </c>
      <c r="F92">
        <v>0</v>
      </c>
      <c r="G92" t="s">
        <v>578</v>
      </c>
      <c r="H92">
        <v>5456</v>
      </c>
    </row>
    <row r="93" spans="1:8" x14ac:dyDescent="0.25">
      <c r="A93" t="s">
        <v>104</v>
      </c>
      <c r="B93" t="s">
        <v>512</v>
      </c>
      <c r="C93" t="s">
        <v>573</v>
      </c>
      <c r="D93">
        <v>3</v>
      </c>
      <c r="E93">
        <v>303</v>
      </c>
      <c r="F93">
        <v>5</v>
      </c>
      <c r="G93" t="s">
        <v>579</v>
      </c>
      <c r="H93">
        <v>909</v>
      </c>
    </row>
    <row r="94" spans="1:8" x14ac:dyDescent="0.25">
      <c r="A94" t="s">
        <v>105</v>
      </c>
      <c r="B94" t="s">
        <v>512</v>
      </c>
      <c r="C94" t="s">
        <v>571</v>
      </c>
      <c r="D94">
        <v>16</v>
      </c>
      <c r="E94">
        <v>85</v>
      </c>
      <c r="F94">
        <v>15</v>
      </c>
      <c r="G94" t="s">
        <v>578</v>
      </c>
      <c r="H94">
        <v>1360</v>
      </c>
    </row>
    <row r="95" spans="1:8" x14ac:dyDescent="0.25">
      <c r="A95" t="s">
        <v>106</v>
      </c>
      <c r="B95" t="s">
        <v>511</v>
      </c>
      <c r="C95" t="s">
        <v>574</v>
      </c>
      <c r="D95">
        <v>17</v>
      </c>
      <c r="E95">
        <v>21</v>
      </c>
      <c r="F95">
        <v>0</v>
      </c>
      <c r="G95" t="s">
        <v>578</v>
      </c>
      <c r="H95">
        <v>357</v>
      </c>
    </row>
    <row r="96" spans="1:8" x14ac:dyDescent="0.25">
      <c r="A96" t="s">
        <v>107</v>
      </c>
      <c r="B96" t="s">
        <v>511</v>
      </c>
      <c r="C96" t="s">
        <v>567</v>
      </c>
      <c r="D96">
        <v>13</v>
      </c>
      <c r="E96">
        <v>1008</v>
      </c>
      <c r="F96">
        <v>15</v>
      </c>
      <c r="G96" t="s">
        <v>580</v>
      </c>
      <c r="H96">
        <v>13104</v>
      </c>
    </row>
    <row r="97" spans="1:8" x14ac:dyDescent="0.25">
      <c r="A97" t="s">
        <v>108</v>
      </c>
      <c r="B97" t="s">
        <v>512</v>
      </c>
      <c r="C97" t="s">
        <v>574</v>
      </c>
      <c r="D97">
        <v>10</v>
      </c>
      <c r="E97">
        <v>44</v>
      </c>
      <c r="F97">
        <v>15</v>
      </c>
      <c r="G97" t="s">
        <v>578</v>
      </c>
      <c r="H97">
        <v>440</v>
      </c>
    </row>
    <row r="98" spans="1:8" x14ac:dyDescent="0.25">
      <c r="A98" t="s">
        <v>109</v>
      </c>
      <c r="B98" t="s">
        <v>514</v>
      </c>
      <c r="C98" t="s">
        <v>567</v>
      </c>
      <c r="D98">
        <v>19</v>
      </c>
      <c r="E98">
        <v>1426</v>
      </c>
      <c r="F98">
        <v>0</v>
      </c>
      <c r="G98" t="s">
        <v>579</v>
      </c>
      <c r="H98">
        <v>27094</v>
      </c>
    </row>
    <row r="99" spans="1:8" x14ac:dyDescent="0.25">
      <c r="A99" t="s">
        <v>110</v>
      </c>
      <c r="B99" t="s">
        <v>511</v>
      </c>
      <c r="C99" t="s">
        <v>571</v>
      </c>
      <c r="D99">
        <v>3</v>
      </c>
      <c r="E99">
        <v>194</v>
      </c>
      <c r="F99">
        <v>5</v>
      </c>
      <c r="G99" t="s">
        <v>581</v>
      </c>
      <c r="H99">
        <v>582</v>
      </c>
    </row>
    <row r="100" spans="1:8" x14ac:dyDescent="0.25">
      <c r="A100" t="s">
        <v>111</v>
      </c>
      <c r="B100" t="s">
        <v>511</v>
      </c>
      <c r="C100" t="s">
        <v>565</v>
      </c>
      <c r="D100">
        <v>11</v>
      </c>
      <c r="E100">
        <v>7</v>
      </c>
      <c r="F100">
        <v>5</v>
      </c>
      <c r="G100" t="s">
        <v>579</v>
      </c>
      <c r="H100">
        <v>77</v>
      </c>
    </row>
    <row r="101" spans="1:8" x14ac:dyDescent="0.25">
      <c r="A101" t="s">
        <v>112</v>
      </c>
      <c r="B101" t="s">
        <v>511</v>
      </c>
      <c r="C101" t="s">
        <v>574</v>
      </c>
      <c r="D101">
        <v>16</v>
      </c>
      <c r="E101">
        <v>135</v>
      </c>
      <c r="F101">
        <v>5</v>
      </c>
      <c r="G101" t="s">
        <v>578</v>
      </c>
      <c r="H101">
        <v>2160</v>
      </c>
    </row>
    <row r="102" spans="1:8" x14ac:dyDescent="0.25">
      <c r="A102" t="s">
        <v>113</v>
      </c>
      <c r="B102" t="s">
        <v>512</v>
      </c>
      <c r="C102" t="s">
        <v>570</v>
      </c>
      <c r="D102">
        <v>20</v>
      </c>
      <c r="E102">
        <v>12</v>
      </c>
      <c r="F102">
        <v>5</v>
      </c>
      <c r="G102" t="s">
        <v>579</v>
      </c>
      <c r="H102">
        <v>240</v>
      </c>
    </row>
    <row r="103" spans="1:8" x14ac:dyDescent="0.25">
      <c r="A103" t="s">
        <v>114</v>
      </c>
      <c r="B103" t="s">
        <v>513</v>
      </c>
      <c r="C103" t="s">
        <v>572</v>
      </c>
      <c r="D103">
        <v>1</v>
      </c>
      <c r="E103">
        <v>221</v>
      </c>
      <c r="F103">
        <v>0</v>
      </c>
      <c r="G103" t="s">
        <v>580</v>
      </c>
      <c r="H103">
        <v>221</v>
      </c>
    </row>
    <row r="104" spans="1:8" x14ac:dyDescent="0.25">
      <c r="A104" t="s">
        <v>115</v>
      </c>
      <c r="B104" t="s">
        <v>513</v>
      </c>
      <c r="C104" t="s">
        <v>565</v>
      </c>
      <c r="D104">
        <v>13</v>
      </c>
      <c r="E104">
        <v>9</v>
      </c>
      <c r="F104">
        <v>0</v>
      </c>
      <c r="G104" t="s">
        <v>581</v>
      </c>
      <c r="H104">
        <v>117</v>
      </c>
    </row>
    <row r="105" spans="1:8" x14ac:dyDescent="0.25">
      <c r="A105" t="s">
        <v>116</v>
      </c>
      <c r="B105" t="s">
        <v>514</v>
      </c>
      <c r="C105" t="s">
        <v>570</v>
      </c>
      <c r="D105">
        <v>15</v>
      </c>
      <c r="E105">
        <v>12</v>
      </c>
      <c r="F105">
        <v>0</v>
      </c>
      <c r="G105" t="s">
        <v>578</v>
      </c>
      <c r="H105">
        <v>180</v>
      </c>
    </row>
    <row r="106" spans="1:8" x14ac:dyDescent="0.25">
      <c r="A106" t="s">
        <v>117</v>
      </c>
      <c r="B106" t="s">
        <v>513</v>
      </c>
      <c r="C106" t="s">
        <v>568</v>
      </c>
      <c r="D106">
        <v>5</v>
      </c>
      <c r="E106">
        <v>397</v>
      </c>
      <c r="F106">
        <v>15</v>
      </c>
      <c r="G106" t="s">
        <v>580</v>
      </c>
      <c r="H106">
        <v>1985</v>
      </c>
    </row>
    <row r="107" spans="1:8" x14ac:dyDescent="0.25">
      <c r="A107" t="s">
        <v>118</v>
      </c>
      <c r="B107" t="s">
        <v>511</v>
      </c>
      <c r="C107" t="s">
        <v>566</v>
      </c>
      <c r="D107">
        <v>3</v>
      </c>
      <c r="E107">
        <v>338</v>
      </c>
      <c r="F107">
        <v>5</v>
      </c>
      <c r="G107" t="s">
        <v>580</v>
      </c>
      <c r="H107">
        <v>1014</v>
      </c>
    </row>
    <row r="108" spans="1:8" x14ac:dyDescent="0.25">
      <c r="A108" t="s">
        <v>119</v>
      </c>
      <c r="B108" t="s">
        <v>514</v>
      </c>
      <c r="C108" t="s">
        <v>570</v>
      </c>
      <c r="D108">
        <v>8</v>
      </c>
      <c r="E108">
        <v>10</v>
      </c>
      <c r="F108">
        <v>5</v>
      </c>
      <c r="G108" t="s">
        <v>578</v>
      </c>
      <c r="H108">
        <v>80</v>
      </c>
    </row>
    <row r="109" spans="1:8" x14ac:dyDescent="0.25">
      <c r="A109" t="s">
        <v>120</v>
      </c>
      <c r="B109" t="s">
        <v>514</v>
      </c>
      <c r="C109" t="s">
        <v>570</v>
      </c>
      <c r="D109">
        <v>20</v>
      </c>
      <c r="E109">
        <v>14</v>
      </c>
      <c r="F109">
        <v>10</v>
      </c>
      <c r="G109" t="s">
        <v>578</v>
      </c>
      <c r="H109">
        <v>280</v>
      </c>
    </row>
    <row r="110" spans="1:8" x14ac:dyDescent="0.25">
      <c r="A110" t="s">
        <v>121</v>
      </c>
      <c r="B110" t="s">
        <v>511</v>
      </c>
      <c r="C110" t="s">
        <v>573</v>
      </c>
      <c r="D110">
        <v>11</v>
      </c>
      <c r="E110">
        <v>396</v>
      </c>
      <c r="F110">
        <v>10</v>
      </c>
      <c r="G110" t="s">
        <v>581</v>
      </c>
      <c r="H110">
        <v>4356</v>
      </c>
    </row>
    <row r="111" spans="1:8" x14ac:dyDescent="0.25">
      <c r="A111" t="s">
        <v>122</v>
      </c>
      <c r="B111" t="s">
        <v>513</v>
      </c>
      <c r="C111" t="s">
        <v>573</v>
      </c>
      <c r="D111">
        <v>14</v>
      </c>
      <c r="E111">
        <v>386</v>
      </c>
      <c r="F111">
        <v>5</v>
      </c>
      <c r="G111" t="s">
        <v>581</v>
      </c>
      <c r="H111">
        <v>5404</v>
      </c>
    </row>
    <row r="112" spans="1:8" x14ac:dyDescent="0.25">
      <c r="A112" t="s">
        <v>123</v>
      </c>
      <c r="B112" t="s">
        <v>514</v>
      </c>
      <c r="C112" t="s">
        <v>574</v>
      </c>
      <c r="D112">
        <v>16</v>
      </c>
      <c r="E112">
        <v>101</v>
      </c>
      <c r="F112">
        <v>5</v>
      </c>
      <c r="G112" t="s">
        <v>580</v>
      </c>
      <c r="H112">
        <v>1616</v>
      </c>
    </row>
    <row r="113" spans="1:8" x14ac:dyDescent="0.25">
      <c r="A113" t="s">
        <v>124</v>
      </c>
      <c r="B113" t="s">
        <v>513</v>
      </c>
      <c r="C113" t="s">
        <v>571</v>
      </c>
      <c r="D113">
        <v>2</v>
      </c>
      <c r="E113">
        <v>73</v>
      </c>
      <c r="F113">
        <v>10</v>
      </c>
      <c r="G113" t="s">
        <v>581</v>
      </c>
      <c r="H113">
        <v>146</v>
      </c>
    </row>
    <row r="114" spans="1:8" x14ac:dyDescent="0.25">
      <c r="A114" t="s">
        <v>125</v>
      </c>
      <c r="B114" t="s">
        <v>514</v>
      </c>
      <c r="C114" t="s">
        <v>574</v>
      </c>
      <c r="D114">
        <v>19</v>
      </c>
      <c r="E114">
        <v>99</v>
      </c>
      <c r="F114">
        <v>0</v>
      </c>
      <c r="G114" t="s">
        <v>580</v>
      </c>
      <c r="H114">
        <v>1881</v>
      </c>
    </row>
    <row r="115" spans="1:8" x14ac:dyDescent="0.25">
      <c r="A115" t="s">
        <v>126</v>
      </c>
      <c r="B115" t="s">
        <v>512</v>
      </c>
      <c r="C115" t="s">
        <v>565</v>
      </c>
      <c r="D115">
        <v>18</v>
      </c>
      <c r="E115">
        <v>7</v>
      </c>
      <c r="F115">
        <v>0</v>
      </c>
      <c r="G115" t="s">
        <v>580</v>
      </c>
      <c r="H115">
        <v>126</v>
      </c>
    </row>
    <row r="116" spans="1:8" x14ac:dyDescent="0.25">
      <c r="A116" t="s">
        <v>127</v>
      </c>
      <c r="B116" t="s">
        <v>512</v>
      </c>
      <c r="C116" t="s">
        <v>572</v>
      </c>
      <c r="D116">
        <v>15</v>
      </c>
      <c r="E116">
        <v>185</v>
      </c>
      <c r="F116">
        <v>15</v>
      </c>
      <c r="G116" t="s">
        <v>579</v>
      </c>
      <c r="H116">
        <v>2775</v>
      </c>
    </row>
    <row r="117" spans="1:8" x14ac:dyDescent="0.25">
      <c r="A117" t="s">
        <v>128</v>
      </c>
      <c r="B117" t="s">
        <v>514</v>
      </c>
      <c r="C117" t="s">
        <v>573</v>
      </c>
      <c r="D117">
        <v>2</v>
      </c>
      <c r="E117">
        <v>200</v>
      </c>
      <c r="F117">
        <v>10</v>
      </c>
      <c r="G117" t="s">
        <v>581</v>
      </c>
      <c r="H117">
        <v>400</v>
      </c>
    </row>
    <row r="118" spans="1:8" x14ac:dyDescent="0.25">
      <c r="A118" t="s">
        <v>129</v>
      </c>
      <c r="B118" t="s">
        <v>511</v>
      </c>
      <c r="C118" t="s">
        <v>573</v>
      </c>
      <c r="D118">
        <v>5</v>
      </c>
      <c r="E118">
        <v>358</v>
      </c>
      <c r="F118">
        <v>15</v>
      </c>
      <c r="G118" t="s">
        <v>581</v>
      </c>
      <c r="H118">
        <v>1790</v>
      </c>
    </row>
    <row r="119" spans="1:8" x14ac:dyDescent="0.25">
      <c r="A119" t="s">
        <v>130</v>
      </c>
      <c r="B119" t="s">
        <v>513</v>
      </c>
      <c r="C119" t="s">
        <v>574</v>
      </c>
      <c r="D119">
        <v>14</v>
      </c>
      <c r="E119">
        <v>101</v>
      </c>
      <c r="F119">
        <v>5</v>
      </c>
      <c r="G119" t="s">
        <v>578</v>
      </c>
      <c r="H119">
        <v>1414</v>
      </c>
    </row>
    <row r="120" spans="1:8" x14ac:dyDescent="0.25">
      <c r="A120" t="s">
        <v>131</v>
      </c>
      <c r="B120" t="s">
        <v>511</v>
      </c>
      <c r="C120" t="s">
        <v>573</v>
      </c>
      <c r="D120">
        <v>7</v>
      </c>
      <c r="E120">
        <v>331</v>
      </c>
      <c r="F120">
        <v>15</v>
      </c>
      <c r="G120" t="s">
        <v>581</v>
      </c>
      <c r="H120">
        <v>2317</v>
      </c>
    </row>
    <row r="121" spans="1:8" x14ac:dyDescent="0.25">
      <c r="A121" t="s">
        <v>132</v>
      </c>
      <c r="B121" t="s">
        <v>513</v>
      </c>
      <c r="C121" t="s">
        <v>574</v>
      </c>
      <c r="D121">
        <v>2</v>
      </c>
      <c r="E121">
        <v>44</v>
      </c>
      <c r="F121">
        <v>10</v>
      </c>
      <c r="G121" t="s">
        <v>578</v>
      </c>
      <c r="H121">
        <v>88</v>
      </c>
    </row>
    <row r="122" spans="1:8" x14ac:dyDescent="0.25">
      <c r="A122" t="s">
        <v>133</v>
      </c>
      <c r="B122" t="s">
        <v>514</v>
      </c>
      <c r="C122" t="s">
        <v>565</v>
      </c>
      <c r="D122">
        <v>16</v>
      </c>
      <c r="E122">
        <v>5</v>
      </c>
      <c r="F122">
        <v>10</v>
      </c>
      <c r="G122" t="s">
        <v>580</v>
      </c>
      <c r="H122">
        <v>80</v>
      </c>
    </row>
    <row r="123" spans="1:8" x14ac:dyDescent="0.25">
      <c r="A123" t="s">
        <v>134</v>
      </c>
      <c r="B123" t="s">
        <v>514</v>
      </c>
      <c r="C123" t="s">
        <v>572</v>
      </c>
      <c r="D123">
        <v>9</v>
      </c>
      <c r="E123">
        <v>73</v>
      </c>
      <c r="F123">
        <v>5</v>
      </c>
      <c r="G123" t="s">
        <v>581</v>
      </c>
      <c r="H123">
        <v>657</v>
      </c>
    </row>
    <row r="124" spans="1:8" x14ac:dyDescent="0.25">
      <c r="A124" t="s">
        <v>135</v>
      </c>
      <c r="B124" t="s">
        <v>512</v>
      </c>
      <c r="C124" t="s">
        <v>566</v>
      </c>
      <c r="D124">
        <v>19</v>
      </c>
      <c r="E124">
        <v>174</v>
      </c>
      <c r="F124">
        <v>0</v>
      </c>
      <c r="G124" t="s">
        <v>580</v>
      </c>
      <c r="H124">
        <v>3306</v>
      </c>
    </row>
    <row r="125" spans="1:8" x14ac:dyDescent="0.25">
      <c r="A125" t="s">
        <v>136</v>
      </c>
      <c r="B125" t="s">
        <v>511</v>
      </c>
      <c r="C125" t="s">
        <v>565</v>
      </c>
      <c r="D125">
        <v>17</v>
      </c>
      <c r="E125">
        <v>8</v>
      </c>
      <c r="F125">
        <v>10</v>
      </c>
      <c r="G125" t="s">
        <v>580</v>
      </c>
      <c r="H125">
        <v>136</v>
      </c>
    </row>
    <row r="126" spans="1:8" x14ac:dyDescent="0.25">
      <c r="A126" t="s">
        <v>137</v>
      </c>
      <c r="B126" t="s">
        <v>514</v>
      </c>
      <c r="C126" t="s">
        <v>566</v>
      </c>
      <c r="D126">
        <v>11</v>
      </c>
      <c r="E126">
        <v>235</v>
      </c>
      <c r="F126">
        <v>15</v>
      </c>
      <c r="G126" t="s">
        <v>579</v>
      </c>
      <c r="H126">
        <v>2585</v>
      </c>
    </row>
    <row r="127" spans="1:8" x14ac:dyDescent="0.25">
      <c r="A127" t="s">
        <v>138</v>
      </c>
      <c r="B127" t="s">
        <v>512</v>
      </c>
      <c r="C127" t="s">
        <v>567</v>
      </c>
      <c r="D127">
        <v>10</v>
      </c>
      <c r="E127">
        <v>1220</v>
      </c>
      <c r="F127">
        <v>0</v>
      </c>
      <c r="G127" t="s">
        <v>578</v>
      </c>
      <c r="H127">
        <v>12200</v>
      </c>
    </row>
    <row r="128" spans="1:8" x14ac:dyDescent="0.25">
      <c r="A128" t="s">
        <v>139</v>
      </c>
      <c r="B128" t="s">
        <v>514</v>
      </c>
      <c r="C128" t="s">
        <v>566</v>
      </c>
      <c r="D128">
        <v>14</v>
      </c>
      <c r="E128">
        <v>361</v>
      </c>
      <c r="F128">
        <v>10</v>
      </c>
      <c r="G128" t="s">
        <v>578</v>
      </c>
      <c r="H128">
        <v>5054</v>
      </c>
    </row>
    <row r="129" spans="1:8" x14ac:dyDescent="0.25">
      <c r="A129" t="s">
        <v>140</v>
      </c>
      <c r="B129" t="s">
        <v>511</v>
      </c>
      <c r="C129" t="s">
        <v>571</v>
      </c>
      <c r="D129">
        <v>8</v>
      </c>
      <c r="E129">
        <v>226</v>
      </c>
      <c r="F129">
        <v>0</v>
      </c>
      <c r="G129" t="s">
        <v>580</v>
      </c>
      <c r="H129">
        <v>1808</v>
      </c>
    </row>
    <row r="130" spans="1:8" x14ac:dyDescent="0.25">
      <c r="A130" t="s">
        <v>141</v>
      </c>
      <c r="B130" t="s">
        <v>512</v>
      </c>
      <c r="C130" t="s">
        <v>571</v>
      </c>
      <c r="D130">
        <v>20</v>
      </c>
      <c r="E130">
        <v>290</v>
      </c>
      <c r="F130">
        <v>5</v>
      </c>
      <c r="G130" t="s">
        <v>579</v>
      </c>
      <c r="H130">
        <v>5800</v>
      </c>
    </row>
    <row r="131" spans="1:8" x14ac:dyDescent="0.25">
      <c r="A131" t="s">
        <v>142</v>
      </c>
      <c r="B131" t="s">
        <v>512</v>
      </c>
      <c r="C131" t="s">
        <v>568</v>
      </c>
      <c r="D131">
        <v>4</v>
      </c>
      <c r="E131">
        <v>220</v>
      </c>
      <c r="F131">
        <v>5</v>
      </c>
      <c r="G131" t="s">
        <v>578</v>
      </c>
      <c r="H131">
        <v>880</v>
      </c>
    </row>
    <row r="132" spans="1:8" x14ac:dyDescent="0.25">
      <c r="A132" t="s">
        <v>143</v>
      </c>
      <c r="B132" t="s">
        <v>511</v>
      </c>
      <c r="C132" t="s">
        <v>574</v>
      </c>
      <c r="D132">
        <v>13</v>
      </c>
      <c r="E132">
        <v>96</v>
      </c>
      <c r="F132">
        <v>0</v>
      </c>
      <c r="G132" t="s">
        <v>579</v>
      </c>
      <c r="H132">
        <v>1248</v>
      </c>
    </row>
    <row r="133" spans="1:8" x14ac:dyDescent="0.25">
      <c r="A133" t="s">
        <v>144</v>
      </c>
      <c r="B133" t="s">
        <v>513</v>
      </c>
      <c r="C133" t="s">
        <v>574</v>
      </c>
      <c r="D133">
        <v>6</v>
      </c>
      <c r="E133">
        <v>81</v>
      </c>
      <c r="F133">
        <v>0</v>
      </c>
      <c r="G133" t="s">
        <v>580</v>
      </c>
      <c r="H133">
        <v>486</v>
      </c>
    </row>
    <row r="134" spans="1:8" x14ac:dyDescent="0.25">
      <c r="A134" t="s">
        <v>145</v>
      </c>
      <c r="B134" t="s">
        <v>514</v>
      </c>
      <c r="C134" t="s">
        <v>565</v>
      </c>
      <c r="D134">
        <v>6</v>
      </c>
      <c r="E134">
        <v>8</v>
      </c>
      <c r="F134">
        <v>10</v>
      </c>
      <c r="G134" t="s">
        <v>578</v>
      </c>
      <c r="H134">
        <v>48</v>
      </c>
    </row>
    <row r="135" spans="1:8" x14ac:dyDescent="0.25">
      <c r="A135" t="s">
        <v>146</v>
      </c>
      <c r="B135" t="s">
        <v>513</v>
      </c>
      <c r="C135" t="s">
        <v>567</v>
      </c>
      <c r="D135">
        <v>3</v>
      </c>
      <c r="E135">
        <v>814</v>
      </c>
      <c r="F135">
        <v>0</v>
      </c>
      <c r="G135" t="s">
        <v>580</v>
      </c>
      <c r="H135">
        <v>2442</v>
      </c>
    </row>
    <row r="136" spans="1:8" x14ac:dyDescent="0.25">
      <c r="A136" t="s">
        <v>147</v>
      </c>
      <c r="B136" t="s">
        <v>513</v>
      </c>
      <c r="C136" t="s">
        <v>568</v>
      </c>
      <c r="D136">
        <v>2</v>
      </c>
      <c r="E136">
        <v>205</v>
      </c>
      <c r="F136">
        <v>10</v>
      </c>
      <c r="G136" t="s">
        <v>581</v>
      </c>
      <c r="H136">
        <v>410</v>
      </c>
    </row>
    <row r="137" spans="1:8" x14ac:dyDescent="0.25">
      <c r="A137" t="s">
        <v>148</v>
      </c>
      <c r="B137" t="s">
        <v>512</v>
      </c>
      <c r="C137" t="s">
        <v>569</v>
      </c>
      <c r="D137">
        <v>20</v>
      </c>
      <c r="E137">
        <v>825</v>
      </c>
      <c r="F137">
        <v>10</v>
      </c>
      <c r="G137" t="s">
        <v>581</v>
      </c>
      <c r="H137">
        <v>16500</v>
      </c>
    </row>
    <row r="138" spans="1:8" x14ac:dyDescent="0.25">
      <c r="A138" t="s">
        <v>149</v>
      </c>
      <c r="B138" t="s">
        <v>513</v>
      </c>
      <c r="C138" t="s">
        <v>567</v>
      </c>
      <c r="D138">
        <v>12</v>
      </c>
      <c r="E138">
        <v>895</v>
      </c>
      <c r="F138">
        <v>15</v>
      </c>
      <c r="G138" t="s">
        <v>578</v>
      </c>
      <c r="H138">
        <v>10740</v>
      </c>
    </row>
    <row r="139" spans="1:8" x14ac:dyDescent="0.25">
      <c r="A139" t="s">
        <v>150</v>
      </c>
      <c r="B139" t="s">
        <v>513</v>
      </c>
      <c r="C139" t="s">
        <v>570</v>
      </c>
      <c r="D139">
        <v>11</v>
      </c>
      <c r="E139">
        <v>15</v>
      </c>
      <c r="F139">
        <v>10</v>
      </c>
      <c r="G139" t="s">
        <v>578</v>
      </c>
      <c r="H139">
        <v>165</v>
      </c>
    </row>
    <row r="140" spans="1:8" x14ac:dyDescent="0.25">
      <c r="A140" t="s">
        <v>151</v>
      </c>
      <c r="B140" t="s">
        <v>514</v>
      </c>
      <c r="C140" t="s">
        <v>565</v>
      </c>
      <c r="D140">
        <v>4</v>
      </c>
      <c r="E140">
        <v>7</v>
      </c>
      <c r="F140">
        <v>10</v>
      </c>
      <c r="G140" t="s">
        <v>581</v>
      </c>
      <c r="H140">
        <v>28</v>
      </c>
    </row>
    <row r="141" spans="1:8" x14ac:dyDescent="0.25">
      <c r="A141" t="s">
        <v>152</v>
      </c>
      <c r="B141" t="s">
        <v>511</v>
      </c>
      <c r="C141" t="s">
        <v>570</v>
      </c>
      <c r="D141">
        <v>20</v>
      </c>
      <c r="E141">
        <v>2</v>
      </c>
      <c r="F141">
        <v>0</v>
      </c>
      <c r="G141" t="s">
        <v>578</v>
      </c>
      <c r="H141">
        <v>40</v>
      </c>
    </row>
    <row r="142" spans="1:8" x14ac:dyDescent="0.25">
      <c r="A142" t="s">
        <v>153</v>
      </c>
      <c r="B142" t="s">
        <v>512</v>
      </c>
      <c r="C142" t="s">
        <v>574</v>
      </c>
      <c r="D142">
        <v>16</v>
      </c>
      <c r="E142">
        <v>78</v>
      </c>
      <c r="F142">
        <v>10</v>
      </c>
      <c r="G142" t="s">
        <v>579</v>
      </c>
      <c r="H142">
        <v>1248</v>
      </c>
    </row>
    <row r="143" spans="1:8" x14ac:dyDescent="0.25">
      <c r="A143" t="s">
        <v>154</v>
      </c>
      <c r="B143" t="s">
        <v>512</v>
      </c>
      <c r="C143" t="s">
        <v>570</v>
      </c>
      <c r="D143">
        <v>19</v>
      </c>
      <c r="E143">
        <v>8</v>
      </c>
      <c r="F143">
        <v>10</v>
      </c>
      <c r="G143" t="s">
        <v>578</v>
      </c>
      <c r="H143">
        <v>152</v>
      </c>
    </row>
    <row r="144" spans="1:8" x14ac:dyDescent="0.25">
      <c r="A144" t="s">
        <v>155</v>
      </c>
      <c r="B144" t="s">
        <v>513</v>
      </c>
      <c r="C144" t="s">
        <v>572</v>
      </c>
      <c r="D144">
        <v>9</v>
      </c>
      <c r="E144">
        <v>50</v>
      </c>
      <c r="F144">
        <v>5</v>
      </c>
      <c r="G144" t="s">
        <v>580</v>
      </c>
      <c r="H144">
        <v>450</v>
      </c>
    </row>
    <row r="145" spans="1:8" x14ac:dyDescent="0.25">
      <c r="A145" t="s">
        <v>156</v>
      </c>
      <c r="B145" t="s">
        <v>511</v>
      </c>
      <c r="C145" t="s">
        <v>570</v>
      </c>
      <c r="D145">
        <v>6</v>
      </c>
      <c r="E145">
        <v>6</v>
      </c>
      <c r="F145">
        <v>15</v>
      </c>
      <c r="G145" t="s">
        <v>581</v>
      </c>
      <c r="H145">
        <v>36</v>
      </c>
    </row>
    <row r="146" spans="1:8" x14ac:dyDescent="0.25">
      <c r="A146" t="s">
        <v>157</v>
      </c>
      <c r="B146" t="s">
        <v>512</v>
      </c>
      <c r="C146" t="s">
        <v>569</v>
      </c>
      <c r="D146">
        <v>15</v>
      </c>
      <c r="E146">
        <v>577</v>
      </c>
      <c r="F146">
        <v>0</v>
      </c>
      <c r="G146" t="s">
        <v>579</v>
      </c>
      <c r="H146">
        <v>8655</v>
      </c>
    </row>
    <row r="147" spans="1:8" x14ac:dyDescent="0.25">
      <c r="A147" t="s">
        <v>158</v>
      </c>
      <c r="B147" t="s">
        <v>511</v>
      </c>
      <c r="C147" t="s">
        <v>566</v>
      </c>
      <c r="D147">
        <v>8</v>
      </c>
      <c r="E147">
        <v>444</v>
      </c>
      <c r="F147">
        <v>15</v>
      </c>
      <c r="G147" t="s">
        <v>578</v>
      </c>
      <c r="H147">
        <v>3552</v>
      </c>
    </row>
    <row r="148" spans="1:8" x14ac:dyDescent="0.25">
      <c r="A148" t="s">
        <v>159</v>
      </c>
      <c r="B148" t="s">
        <v>511</v>
      </c>
      <c r="C148" t="s">
        <v>572</v>
      </c>
      <c r="D148">
        <v>2</v>
      </c>
      <c r="E148">
        <v>222</v>
      </c>
      <c r="F148">
        <v>10</v>
      </c>
      <c r="G148" t="s">
        <v>579</v>
      </c>
      <c r="H148">
        <v>444</v>
      </c>
    </row>
    <row r="149" spans="1:8" x14ac:dyDescent="0.25">
      <c r="A149" t="s">
        <v>160</v>
      </c>
      <c r="B149" t="s">
        <v>511</v>
      </c>
      <c r="C149" t="s">
        <v>569</v>
      </c>
      <c r="D149">
        <v>10</v>
      </c>
      <c r="E149">
        <v>463</v>
      </c>
      <c r="F149">
        <v>10</v>
      </c>
      <c r="G149" t="s">
        <v>578</v>
      </c>
      <c r="H149">
        <v>4630</v>
      </c>
    </row>
    <row r="150" spans="1:8" x14ac:dyDescent="0.25">
      <c r="A150" t="s">
        <v>161</v>
      </c>
      <c r="B150" t="s">
        <v>513</v>
      </c>
      <c r="C150" t="s">
        <v>567</v>
      </c>
      <c r="D150">
        <v>16</v>
      </c>
      <c r="E150">
        <v>969</v>
      </c>
      <c r="F150">
        <v>10</v>
      </c>
      <c r="G150" t="s">
        <v>578</v>
      </c>
      <c r="H150">
        <v>15504</v>
      </c>
    </row>
    <row r="151" spans="1:8" x14ac:dyDescent="0.25">
      <c r="A151" t="s">
        <v>162</v>
      </c>
      <c r="B151" t="s">
        <v>513</v>
      </c>
      <c r="C151" t="s">
        <v>565</v>
      </c>
      <c r="D151">
        <v>20</v>
      </c>
      <c r="E151">
        <v>8</v>
      </c>
      <c r="F151">
        <v>0</v>
      </c>
      <c r="G151" t="s">
        <v>580</v>
      </c>
      <c r="H151">
        <v>160</v>
      </c>
    </row>
    <row r="152" spans="1:8" x14ac:dyDescent="0.25">
      <c r="A152" t="s">
        <v>163</v>
      </c>
      <c r="B152" t="s">
        <v>513</v>
      </c>
      <c r="C152" t="s">
        <v>572</v>
      </c>
      <c r="D152">
        <v>7</v>
      </c>
      <c r="E152">
        <v>185</v>
      </c>
      <c r="F152">
        <v>0</v>
      </c>
      <c r="G152" t="s">
        <v>579</v>
      </c>
      <c r="H152">
        <v>1295</v>
      </c>
    </row>
    <row r="153" spans="1:8" x14ac:dyDescent="0.25">
      <c r="A153" t="s">
        <v>164</v>
      </c>
      <c r="B153" t="s">
        <v>513</v>
      </c>
      <c r="C153" t="s">
        <v>569</v>
      </c>
      <c r="D153">
        <v>9</v>
      </c>
      <c r="E153">
        <v>810</v>
      </c>
      <c r="F153">
        <v>5</v>
      </c>
      <c r="G153" t="s">
        <v>581</v>
      </c>
      <c r="H153">
        <v>7290</v>
      </c>
    </row>
    <row r="154" spans="1:8" x14ac:dyDescent="0.25">
      <c r="A154" t="s">
        <v>165</v>
      </c>
      <c r="B154" t="s">
        <v>512</v>
      </c>
      <c r="C154" t="s">
        <v>572</v>
      </c>
      <c r="D154">
        <v>2</v>
      </c>
      <c r="E154">
        <v>238</v>
      </c>
      <c r="F154">
        <v>10</v>
      </c>
      <c r="G154" t="s">
        <v>579</v>
      </c>
      <c r="H154">
        <v>476</v>
      </c>
    </row>
    <row r="155" spans="1:8" x14ac:dyDescent="0.25">
      <c r="A155" t="s">
        <v>166</v>
      </c>
      <c r="B155" t="s">
        <v>514</v>
      </c>
      <c r="C155" t="s">
        <v>569</v>
      </c>
      <c r="D155">
        <v>15</v>
      </c>
      <c r="E155">
        <v>663</v>
      </c>
      <c r="F155">
        <v>15</v>
      </c>
      <c r="G155" t="s">
        <v>581</v>
      </c>
      <c r="H155">
        <v>9945</v>
      </c>
    </row>
    <row r="156" spans="1:8" x14ac:dyDescent="0.25">
      <c r="A156" t="s">
        <v>167</v>
      </c>
      <c r="B156" t="s">
        <v>511</v>
      </c>
      <c r="C156" t="s">
        <v>566</v>
      </c>
      <c r="D156">
        <v>14</v>
      </c>
      <c r="E156">
        <v>482</v>
      </c>
      <c r="F156">
        <v>5</v>
      </c>
      <c r="G156" t="s">
        <v>580</v>
      </c>
      <c r="H156">
        <v>6748</v>
      </c>
    </row>
    <row r="157" spans="1:8" x14ac:dyDescent="0.25">
      <c r="A157" t="s">
        <v>168</v>
      </c>
      <c r="B157" t="s">
        <v>513</v>
      </c>
      <c r="C157" t="s">
        <v>568</v>
      </c>
      <c r="D157">
        <v>4</v>
      </c>
      <c r="E157">
        <v>198</v>
      </c>
      <c r="F157">
        <v>10</v>
      </c>
      <c r="G157" t="s">
        <v>578</v>
      </c>
      <c r="H157">
        <v>792</v>
      </c>
    </row>
    <row r="158" spans="1:8" x14ac:dyDescent="0.25">
      <c r="A158" t="s">
        <v>169</v>
      </c>
      <c r="B158" t="s">
        <v>512</v>
      </c>
      <c r="C158" t="s">
        <v>569</v>
      </c>
      <c r="D158">
        <v>4</v>
      </c>
      <c r="E158">
        <v>994</v>
      </c>
      <c r="F158">
        <v>15</v>
      </c>
      <c r="G158" t="s">
        <v>581</v>
      </c>
      <c r="H158">
        <v>3976</v>
      </c>
    </row>
    <row r="159" spans="1:8" x14ac:dyDescent="0.25">
      <c r="A159" t="s">
        <v>170</v>
      </c>
      <c r="B159" t="s">
        <v>512</v>
      </c>
      <c r="C159" t="s">
        <v>573</v>
      </c>
      <c r="D159">
        <v>12</v>
      </c>
      <c r="E159">
        <v>154</v>
      </c>
      <c r="F159">
        <v>0</v>
      </c>
      <c r="G159" t="s">
        <v>579</v>
      </c>
      <c r="H159">
        <v>1848</v>
      </c>
    </row>
    <row r="160" spans="1:8" x14ac:dyDescent="0.25">
      <c r="A160" t="s">
        <v>171</v>
      </c>
      <c r="B160" t="s">
        <v>512</v>
      </c>
      <c r="C160" t="s">
        <v>565</v>
      </c>
      <c r="D160">
        <v>4</v>
      </c>
      <c r="E160">
        <v>4</v>
      </c>
      <c r="F160">
        <v>0</v>
      </c>
      <c r="G160" t="s">
        <v>578</v>
      </c>
      <c r="H160">
        <v>16</v>
      </c>
    </row>
    <row r="161" spans="1:8" x14ac:dyDescent="0.25">
      <c r="A161" t="s">
        <v>172</v>
      </c>
      <c r="B161" t="s">
        <v>513</v>
      </c>
      <c r="C161" t="s">
        <v>569</v>
      </c>
      <c r="D161">
        <v>3</v>
      </c>
      <c r="E161">
        <v>997</v>
      </c>
      <c r="F161">
        <v>5</v>
      </c>
      <c r="G161" t="s">
        <v>579</v>
      </c>
      <c r="H161">
        <v>2991</v>
      </c>
    </row>
    <row r="162" spans="1:8" x14ac:dyDescent="0.25">
      <c r="A162" t="s">
        <v>173</v>
      </c>
      <c r="B162" t="s">
        <v>512</v>
      </c>
      <c r="C162" t="s">
        <v>573</v>
      </c>
      <c r="D162">
        <v>8</v>
      </c>
      <c r="E162">
        <v>352</v>
      </c>
      <c r="F162">
        <v>5</v>
      </c>
      <c r="G162" t="s">
        <v>580</v>
      </c>
      <c r="H162">
        <v>2816</v>
      </c>
    </row>
    <row r="163" spans="1:8" x14ac:dyDescent="0.25">
      <c r="A163" t="s">
        <v>174</v>
      </c>
      <c r="B163" t="s">
        <v>512</v>
      </c>
      <c r="C163" t="s">
        <v>566</v>
      </c>
      <c r="D163">
        <v>4</v>
      </c>
      <c r="E163">
        <v>309</v>
      </c>
      <c r="F163">
        <v>10</v>
      </c>
      <c r="G163" t="s">
        <v>579</v>
      </c>
      <c r="H163">
        <v>1236</v>
      </c>
    </row>
    <row r="164" spans="1:8" x14ac:dyDescent="0.25">
      <c r="A164" t="s">
        <v>175</v>
      </c>
      <c r="B164" t="s">
        <v>514</v>
      </c>
      <c r="C164" t="s">
        <v>571</v>
      </c>
      <c r="D164">
        <v>11</v>
      </c>
      <c r="E164">
        <v>52</v>
      </c>
      <c r="F164">
        <v>5</v>
      </c>
      <c r="G164" t="s">
        <v>581</v>
      </c>
      <c r="H164">
        <v>572</v>
      </c>
    </row>
    <row r="165" spans="1:8" x14ac:dyDescent="0.25">
      <c r="A165" t="s">
        <v>176</v>
      </c>
      <c r="B165" t="s">
        <v>514</v>
      </c>
      <c r="C165" t="s">
        <v>571</v>
      </c>
      <c r="D165">
        <v>4</v>
      </c>
      <c r="E165">
        <v>260</v>
      </c>
      <c r="F165">
        <v>0</v>
      </c>
      <c r="G165" t="s">
        <v>578</v>
      </c>
      <c r="H165">
        <v>1040</v>
      </c>
    </row>
    <row r="166" spans="1:8" x14ac:dyDescent="0.25">
      <c r="A166" t="s">
        <v>177</v>
      </c>
      <c r="B166" t="s">
        <v>511</v>
      </c>
      <c r="C166" t="s">
        <v>574</v>
      </c>
      <c r="D166">
        <v>11</v>
      </c>
      <c r="E166">
        <v>33</v>
      </c>
      <c r="F166">
        <v>15</v>
      </c>
      <c r="G166" t="s">
        <v>578</v>
      </c>
      <c r="H166">
        <v>363</v>
      </c>
    </row>
    <row r="167" spans="1:8" x14ac:dyDescent="0.25">
      <c r="A167" t="s">
        <v>178</v>
      </c>
      <c r="B167" t="s">
        <v>512</v>
      </c>
      <c r="C167" t="s">
        <v>574</v>
      </c>
      <c r="D167">
        <v>12</v>
      </c>
      <c r="E167">
        <v>87</v>
      </c>
      <c r="F167">
        <v>10</v>
      </c>
      <c r="G167" t="s">
        <v>578</v>
      </c>
      <c r="H167">
        <v>1044</v>
      </c>
    </row>
    <row r="168" spans="1:8" x14ac:dyDescent="0.25">
      <c r="A168" t="s">
        <v>179</v>
      </c>
      <c r="B168" t="s">
        <v>511</v>
      </c>
      <c r="C168" t="s">
        <v>567</v>
      </c>
      <c r="D168">
        <v>12</v>
      </c>
      <c r="E168">
        <v>890</v>
      </c>
      <c r="F168">
        <v>10</v>
      </c>
      <c r="G168" t="s">
        <v>578</v>
      </c>
      <c r="H168">
        <v>10680</v>
      </c>
    </row>
    <row r="169" spans="1:8" x14ac:dyDescent="0.25">
      <c r="A169" t="s">
        <v>180</v>
      </c>
      <c r="B169" t="s">
        <v>512</v>
      </c>
      <c r="C169" t="s">
        <v>574</v>
      </c>
      <c r="D169">
        <v>13</v>
      </c>
      <c r="E169">
        <v>22</v>
      </c>
      <c r="F169">
        <v>10</v>
      </c>
      <c r="G169" t="s">
        <v>580</v>
      </c>
      <c r="H169">
        <v>286</v>
      </c>
    </row>
    <row r="170" spans="1:8" x14ac:dyDescent="0.25">
      <c r="A170" t="s">
        <v>181</v>
      </c>
      <c r="B170" t="s">
        <v>511</v>
      </c>
      <c r="C170" t="s">
        <v>569</v>
      </c>
      <c r="D170">
        <v>15</v>
      </c>
      <c r="E170">
        <v>449</v>
      </c>
      <c r="F170">
        <v>0</v>
      </c>
      <c r="G170" t="s">
        <v>581</v>
      </c>
      <c r="H170">
        <v>6735</v>
      </c>
    </row>
    <row r="171" spans="1:8" x14ac:dyDescent="0.25">
      <c r="A171" t="s">
        <v>182</v>
      </c>
      <c r="B171" t="s">
        <v>512</v>
      </c>
      <c r="C171" t="s">
        <v>571</v>
      </c>
      <c r="D171">
        <v>18</v>
      </c>
      <c r="E171">
        <v>213</v>
      </c>
      <c r="F171">
        <v>10</v>
      </c>
      <c r="G171" t="s">
        <v>578</v>
      </c>
      <c r="H171">
        <v>3834</v>
      </c>
    </row>
    <row r="172" spans="1:8" x14ac:dyDescent="0.25">
      <c r="A172" t="s">
        <v>183</v>
      </c>
      <c r="B172" t="s">
        <v>514</v>
      </c>
      <c r="C172" t="s">
        <v>572</v>
      </c>
      <c r="D172">
        <v>2</v>
      </c>
      <c r="E172">
        <v>210</v>
      </c>
      <c r="F172">
        <v>10</v>
      </c>
      <c r="G172" t="s">
        <v>579</v>
      </c>
      <c r="H172">
        <v>420</v>
      </c>
    </row>
    <row r="173" spans="1:8" x14ac:dyDescent="0.25">
      <c r="A173" t="s">
        <v>184</v>
      </c>
      <c r="B173" t="s">
        <v>512</v>
      </c>
      <c r="C173" t="s">
        <v>570</v>
      </c>
      <c r="D173">
        <v>7</v>
      </c>
      <c r="E173">
        <v>5</v>
      </c>
      <c r="F173">
        <v>10</v>
      </c>
      <c r="G173" t="s">
        <v>580</v>
      </c>
      <c r="H173">
        <v>35</v>
      </c>
    </row>
    <row r="174" spans="1:8" x14ac:dyDescent="0.25">
      <c r="A174" t="s">
        <v>185</v>
      </c>
      <c r="B174" t="s">
        <v>514</v>
      </c>
      <c r="C174" t="s">
        <v>574</v>
      </c>
      <c r="D174">
        <v>3</v>
      </c>
      <c r="E174">
        <v>39</v>
      </c>
      <c r="F174">
        <v>10</v>
      </c>
      <c r="G174" t="s">
        <v>578</v>
      </c>
      <c r="H174">
        <v>117</v>
      </c>
    </row>
    <row r="175" spans="1:8" x14ac:dyDescent="0.25">
      <c r="A175" t="s">
        <v>186</v>
      </c>
      <c r="B175" t="s">
        <v>512</v>
      </c>
      <c r="C175" t="s">
        <v>572</v>
      </c>
      <c r="D175">
        <v>17</v>
      </c>
      <c r="E175">
        <v>299</v>
      </c>
      <c r="F175">
        <v>10</v>
      </c>
      <c r="G175" t="s">
        <v>579</v>
      </c>
      <c r="H175">
        <v>5083</v>
      </c>
    </row>
    <row r="176" spans="1:8" x14ac:dyDescent="0.25">
      <c r="A176" t="s">
        <v>187</v>
      </c>
      <c r="B176" t="s">
        <v>512</v>
      </c>
      <c r="C176" t="s">
        <v>571</v>
      </c>
      <c r="D176">
        <v>20</v>
      </c>
      <c r="E176">
        <v>140</v>
      </c>
      <c r="F176">
        <v>10</v>
      </c>
      <c r="G176" t="s">
        <v>580</v>
      </c>
      <c r="H176">
        <v>2800</v>
      </c>
    </row>
    <row r="177" spans="1:8" x14ac:dyDescent="0.25">
      <c r="A177" t="s">
        <v>188</v>
      </c>
      <c r="B177" t="s">
        <v>513</v>
      </c>
      <c r="C177" t="s">
        <v>573</v>
      </c>
      <c r="D177">
        <v>4</v>
      </c>
      <c r="E177">
        <v>159</v>
      </c>
      <c r="F177">
        <v>5</v>
      </c>
      <c r="G177" t="s">
        <v>581</v>
      </c>
      <c r="H177">
        <v>636</v>
      </c>
    </row>
    <row r="178" spans="1:8" x14ac:dyDescent="0.25">
      <c r="A178" t="s">
        <v>189</v>
      </c>
      <c r="B178" t="s">
        <v>514</v>
      </c>
      <c r="C178" t="s">
        <v>573</v>
      </c>
      <c r="D178">
        <v>18</v>
      </c>
      <c r="E178">
        <v>110</v>
      </c>
      <c r="F178">
        <v>10</v>
      </c>
      <c r="G178" t="s">
        <v>580</v>
      </c>
      <c r="H178">
        <v>1980</v>
      </c>
    </row>
    <row r="179" spans="1:8" x14ac:dyDescent="0.25">
      <c r="A179" t="s">
        <v>190</v>
      </c>
      <c r="B179" t="s">
        <v>514</v>
      </c>
      <c r="C179" t="s">
        <v>569</v>
      </c>
      <c r="D179">
        <v>14</v>
      </c>
      <c r="E179">
        <v>589</v>
      </c>
      <c r="F179">
        <v>10</v>
      </c>
      <c r="G179" t="s">
        <v>579</v>
      </c>
      <c r="H179">
        <v>8246</v>
      </c>
    </row>
    <row r="180" spans="1:8" x14ac:dyDescent="0.25">
      <c r="A180" t="s">
        <v>191</v>
      </c>
      <c r="B180" t="s">
        <v>514</v>
      </c>
      <c r="C180" t="s">
        <v>573</v>
      </c>
      <c r="D180">
        <v>13</v>
      </c>
      <c r="E180">
        <v>219</v>
      </c>
      <c r="F180">
        <v>10</v>
      </c>
      <c r="G180" t="s">
        <v>578</v>
      </c>
      <c r="H180">
        <v>2847</v>
      </c>
    </row>
    <row r="181" spans="1:8" x14ac:dyDescent="0.25">
      <c r="A181" t="s">
        <v>192</v>
      </c>
      <c r="B181" t="s">
        <v>512</v>
      </c>
      <c r="C181" t="s">
        <v>569</v>
      </c>
      <c r="D181">
        <v>4</v>
      </c>
      <c r="E181">
        <v>573</v>
      </c>
      <c r="F181">
        <v>10</v>
      </c>
      <c r="G181" t="s">
        <v>578</v>
      </c>
      <c r="H181">
        <v>2292</v>
      </c>
    </row>
    <row r="182" spans="1:8" x14ac:dyDescent="0.25">
      <c r="A182" t="s">
        <v>193</v>
      </c>
      <c r="B182" t="s">
        <v>513</v>
      </c>
      <c r="C182" t="s">
        <v>566</v>
      </c>
      <c r="D182">
        <v>16</v>
      </c>
      <c r="E182">
        <v>161</v>
      </c>
      <c r="F182">
        <v>15</v>
      </c>
      <c r="G182" t="s">
        <v>578</v>
      </c>
      <c r="H182">
        <v>2576</v>
      </c>
    </row>
    <row r="183" spans="1:8" x14ac:dyDescent="0.25">
      <c r="A183" t="s">
        <v>194</v>
      </c>
      <c r="B183" t="s">
        <v>513</v>
      </c>
      <c r="C183" t="s">
        <v>570</v>
      </c>
      <c r="D183">
        <v>9</v>
      </c>
      <c r="E183">
        <v>7</v>
      </c>
      <c r="F183">
        <v>0</v>
      </c>
      <c r="G183" t="s">
        <v>579</v>
      </c>
      <c r="H183">
        <v>63</v>
      </c>
    </row>
    <row r="184" spans="1:8" x14ac:dyDescent="0.25">
      <c r="A184" t="s">
        <v>195</v>
      </c>
      <c r="B184" t="s">
        <v>513</v>
      </c>
      <c r="C184" t="s">
        <v>567</v>
      </c>
      <c r="D184">
        <v>16</v>
      </c>
      <c r="E184">
        <v>1034</v>
      </c>
      <c r="F184">
        <v>0</v>
      </c>
      <c r="G184" t="s">
        <v>579</v>
      </c>
      <c r="H184">
        <v>16544</v>
      </c>
    </row>
    <row r="185" spans="1:8" x14ac:dyDescent="0.25">
      <c r="A185" t="s">
        <v>196</v>
      </c>
      <c r="B185" t="s">
        <v>512</v>
      </c>
      <c r="C185" t="s">
        <v>574</v>
      </c>
      <c r="D185">
        <v>5</v>
      </c>
      <c r="E185">
        <v>22</v>
      </c>
      <c r="F185">
        <v>10</v>
      </c>
      <c r="G185" t="s">
        <v>581</v>
      </c>
      <c r="H185">
        <v>110</v>
      </c>
    </row>
    <row r="186" spans="1:8" x14ac:dyDescent="0.25">
      <c r="A186" t="s">
        <v>197</v>
      </c>
      <c r="B186" t="s">
        <v>512</v>
      </c>
      <c r="C186" t="s">
        <v>569</v>
      </c>
      <c r="D186">
        <v>11</v>
      </c>
      <c r="E186">
        <v>861</v>
      </c>
      <c r="F186">
        <v>0</v>
      </c>
      <c r="G186" t="s">
        <v>581</v>
      </c>
      <c r="H186">
        <v>9471</v>
      </c>
    </row>
    <row r="187" spans="1:8" x14ac:dyDescent="0.25">
      <c r="A187" t="s">
        <v>198</v>
      </c>
      <c r="B187" t="s">
        <v>514</v>
      </c>
      <c r="C187" t="s">
        <v>566</v>
      </c>
      <c r="D187">
        <v>2</v>
      </c>
      <c r="E187">
        <v>194</v>
      </c>
      <c r="F187">
        <v>5</v>
      </c>
      <c r="G187" t="s">
        <v>580</v>
      </c>
      <c r="H187">
        <v>388</v>
      </c>
    </row>
    <row r="188" spans="1:8" x14ac:dyDescent="0.25">
      <c r="A188" t="s">
        <v>199</v>
      </c>
      <c r="B188" t="s">
        <v>511</v>
      </c>
      <c r="C188" t="s">
        <v>567</v>
      </c>
      <c r="D188">
        <v>10</v>
      </c>
      <c r="E188">
        <v>979</v>
      </c>
      <c r="F188">
        <v>15</v>
      </c>
      <c r="G188" t="s">
        <v>579</v>
      </c>
      <c r="H188">
        <v>9790</v>
      </c>
    </row>
    <row r="189" spans="1:8" x14ac:dyDescent="0.25">
      <c r="A189" t="s">
        <v>200</v>
      </c>
      <c r="B189" t="s">
        <v>511</v>
      </c>
      <c r="C189" t="s">
        <v>568</v>
      </c>
      <c r="D189">
        <v>18</v>
      </c>
      <c r="E189">
        <v>475</v>
      </c>
      <c r="F189">
        <v>5</v>
      </c>
      <c r="G189" t="s">
        <v>581</v>
      </c>
      <c r="H189">
        <v>8550</v>
      </c>
    </row>
    <row r="190" spans="1:8" x14ac:dyDescent="0.25">
      <c r="A190" t="s">
        <v>201</v>
      </c>
      <c r="B190" t="s">
        <v>513</v>
      </c>
      <c r="C190" t="s">
        <v>571</v>
      </c>
      <c r="D190">
        <v>13</v>
      </c>
      <c r="E190">
        <v>135</v>
      </c>
      <c r="F190">
        <v>5</v>
      </c>
      <c r="G190" t="s">
        <v>581</v>
      </c>
      <c r="H190">
        <v>1755</v>
      </c>
    </row>
    <row r="191" spans="1:8" x14ac:dyDescent="0.25">
      <c r="A191" t="s">
        <v>202</v>
      </c>
      <c r="B191" t="s">
        <v>511</v>
      </c>
      <c r="C191" t="s">
        <v>571</v>
      </c>
      <c r="D191">
        <v>6</v>
      </c>
      <c r="E191">
        <v>193</v>
      </c>
      <c r="F191">
        <v>15</v>
      </c>
      <c r="G191" t="s">
        <v>579</v>
      </c>
      <c r="H191">
        <v>1158</v>
      </c>
    </row>
    <row r="192" spans="1:8" x14ac:dyDescent="0.25">
      <c r="A192" t="s">
        <v>203</v>
      </c>
      <c r="B192" t="s">
        <v>513</v>
      </c>
      <c r="C192" t="s">
        <v>574</v>
      </c>
      <c r="D192">
        <v>7</v>
      </c>
      <c r="E192">
        <v>80</v>
      </c>
      <c r="F192">
        <v>5</v>
      </c>
      <c r="G192" t="s">
        <v>578</v>
      </c>
      <c r="H192">
        <v>560</v>
      </c>
    </row>
    <row r="193" spans="1:8" x14ac:dyDescent="0.25">
      <c r="A193" t="s">
        <v>204</v>
      </c>
      <c r="B193" t="s">
        <v>512</v>
      </c>
      <c r="C193" t="s">
        <v>574</v>
      </c>
      <c r="D193">
        <v>20</v>
      </c>
      <c r="E193">
        <v>102</v>
      </c>
      <c r="F193">
        <v>10</v>
      </c>
      <c r="G193" t="s">
        <v>580</v>
      </c>
      <c r="H193">
        <v>2040</v>
      </c>
    </row>
    <row r="194" spans="1:8" x14ac:dyDescent="0.25">
      <c r="A194" t="s">
        <v>205</v>
      </c>
      <c r="B194" t="s">
        <v>511</v>
      </c>
      <c r="C194" t="s">
        <v>570</v>
      </c>
      <c r="D194">
        <v>6</v>
      </c>
      <c r="E194">
        <v>10</v>
      </c>
      <c r="F194">
        <v>5</v>
      </c>
      <c r="G194" t="s">
        <v>579</v>
      </c>
      <c r="H194">
        <v>60</v>
      </c>
    </row>
    <row r="195" spans="1:8" x14ac:dyDescent="0.25">
      <c r="A195" t="s">
        <v>206</v>
      </c>
      <c r="B195" t="s">
        <v>512</v>
      </c>
      <c r="C195" t="s">
        <v>565</v>
      </c>
      <c r="D195">
        <v>7</v>
      </c>
      <c r="E195">
        <v>3</v>
      </c>
      <c r="F195">
        <v>10</v>
      </c>
      <c r="G195" t="s">
        <v>580</v>
      </c>
      <c r="H195">
        <v>21</v>
      </c>
    </row>
    <row r="196" spans="1:8" x14ac:dyDescent="0.25">
      <c r="A196" t="s">
        <v>207</v>
      </c>
      <c r="B196" t="s">
        <v>514</v>
      </c>
      <c r="C196" t="s">
        <v>565</v>
      </c>
      <c r="D196">
        <v>2</v>
      </c>
      <c r="E196">
        <v>2</v>
      </c>
      <c r="F196">
        <v>5</v>
      </c>
      <c r="G196" t="s">
        <v>578</v>
      </c>
      <c r="H196">
        <v>4</v>
      </c>
    </row>
    <row r="197" spans="1:8" x14ac:dyDescent="0.25">
      <c r="A197" t="s">
        <v>208</v>
      </c>
      <c r="B197" t="s">
        <v>514</v>
      </c>
      <c r="C197" t="s">
        <v>570</v>
      </c>
      <c r="D197">
        <v>18</v>
      </c>
      <c r="E197">
        <v>2</v>
      </c>
      <c r="F197">
        <v>0</v>
      </c>
      <c r="G197" t="s">
        <v>580</v>
      </c>
      <c r="H197">
        <v>36</v>
      </c>
    </row>
    <row r="198" spans="1:8" x14ac:dyDescent="0.25">
      <c r="A198" t="s">
        <v>209</v>
      </c>
      <c r="B198" t="s">
        <v>512</v>
      </c>
      <c r="C198" t="s">
        <v>569</v>
      </c>
      <c r="D198">
        <v>2</v>
      </c>
      <c r="E198">
        <v>666</v>
      </c>
      <c r="F198">
        <v>15</v>
      </c>
      <c r="G198" t="s">
        <v>578</v>
      </c>
      <c r="H198">
        <v>1332</v>
      </c>
    </row>
    <row r="199" spans="1:8" x14ac:dyDescent="0.25">
      <c r="A199" t="s">
        <v>210</v>
      </c>
      <c r="B199" t="s">
        <v>514</v>
      </c>
      <c r="C199" t="s">
        <v>568</v>
      </c>
      <c r="D199">
        <v>18</v>
      </c>
      <c r="E199">
        <v>341</v>
      </c>
      <c r="F199">
        <v>15</v>
      </c>
      <c r="G199" t="s">
        <v>579</v>
      </c>
      <c r="H199">
        <v>6138</v>
      </c>
    </row>
    <row r="200" spans="1:8" x14ac:dyDescent="0.25">
      <c r="A200" t="s">
        <v>211</v>
      </c>
      <c r="B200" t="s">
        <v>512</v>
      </c>
      <c r="C200" t="s">
        <v>573</v>
      </c>
      <c r="D200">
        <v>18</v>
      </c>
      <c r="E200">
        <v>299</v>
      </c>
      <c r="F200">
        <v>5</v>
      </c>
      <c r="G200" t="s">
        <v>581</v>
      </c>
      <c r="H200">
        <v>5382</v>
      </c>
    </row>
    <row r="201" spans="1:8" x14ac:dyDescent="0.25">
      <c r="A201" t="s">
        <v>212</v>
      </c>
      <c r="B201" t="s">
        <v>514</v>
      </c>
      <c r="C201" t="s">
        <v>573</v>
      </c>
      <c r="D201">
        <v>6</v>
      </c>
      <c r="E201">
        <v>308</v>
      </c>
      <c r="F201">
        <v>0</v>
      </c>
      <c r="G201" t="s">
        <v>580</v>
      </c>
      <c r="H201">
        <v>1848</v>
      </c>
    </row>
    <row r="202" spans="1:8" x14ac:dyDescent="0.25">
      <c r="A202" t="s">
        <v>213</v>
      </c>
      <c r="B202" t="s">
        <v>512</v>
      </c>
      <c r="C202" t="s">
        <v>568</v>
      </c>
      <c r="D202">
        <v>6</v>
      </c>
      <c r="E202">
        <v>411</v>
      </c>
      <c r="F202">
        <v>0</v>
      </c>
      <c r="G202" t="s">
        <v>581</v>
      </c>
      <c r="H202">
        <v>2466</v>
      </c>
    </row>
    <row r="203" spans="1:8" x14ac:dyDescent="0.25">
      <c r="A203" t="s">
        <v>214</v>
      </c>
      <c r="B203" t="s">
        <v>511</v>
      </c>
      <c r="C203" t="s">
        <v>574</v>
      </c>
      <c r="D203">
        <v>4</v>
      </c>
      <c r="E203">
        <v>98</v>
      </c>
      <c r="F203">
        <v>0</v>
      </c>
      <c r="G203" t="s">
        <v>580</v>
      </c>
      <c r="H203">
        <v>392</v>
      </c>
    </row>
    <row r="204" spans="1:8" x14ac:dyDescent="0.25">
      <c r="A204" t="s">
        <v>215</v>
      </c>
      <c r="B204" t="s">
        <v>513</v>
      </c>
      <c r="C204" t="s">
        <v>573</v>
      </c>
      <c r="D204">
        <v>1</v>
      </c>
      <c r="E204">
        <v>154</v>
      </c>
      <c r="F204">
        <v>5</v>
      </c>
      <c r="G204" t="s">
        <v>578</v>
      </c>
      <c r="H204">
        <v>154</v>
      </c>
    </row>
    <row r="205" spans="1:8" x14ac:dyDescent="0.25">
      <c r="A205" t="s">
        <v>216</v>
      </c>
      <c r="B205" t="s">
        <v>514</v>
      </c>
      <c r="C205" t="s">
        <v>568</v>
      </c>
      <c r="D205">
        <v>19</v>
      </c>
      <c r="E205">
        <v>409</v>
      </c>
      <c r="F205">
        <v>10</v>
      </c>
      <c r="G205" t="s">
        <v>579</v>
      </c>
      <c r="H205">
        <v>7771</v>
      </c>
    </row>
    <row r="206" spans="1:8" x14ac:dyDescent="0.25">
      <c r="A206" t="s">
        <v>217</v>
      </c>
      <c r="B206" t="s">
        <v>511</v>
      </c>
      <c r="C206" t="s">
        <v>571</v>
      </c>
      <c r="D206">
        <v>13</v>
      </c>
      <c r="E206">
        <v>249</v>
      </c>
      <c r="F206">
        <v>0</v>
      </c>
      <c r="G206" t="s">
        <v>579</v>
      </c>
      <c r="H206">
        <v>3237</v>
      </c>
    </row>
    <row r="207" spans="1:8" x14ac:dyDescent="0.25">
      <c r="A207" t="s">
        <v>218</v>
      </c>
      <c r="B207" t="s">
        <v>513</v>
      </c>
      <c r="C207" t="s">
        <v>565</v>
      </c>
      <c r="D207">
        <v>2</v>
      </c>
      <c r="E207">
        <v>2</v>
      </c>
      <c r="F207">
        <v>5</v>
      </c>
      <c r="G207" t="s">
        <v>580</v>
      </c>
      <c r="H207">
        <v>4</v>
      </c>
    </row>
    <row r="208" spans="1:8" x14ac:dyDescent="0.25">
      <c r="A208" t="s">
        <v>219</v>
      </c>
      <c r="B208" t="s">
        <v>514</v>
      </c>
      <c r="C208" t="s">
        <v>570</v>
      </c>
      <c r="D208">
        <v>5</v>
      </c>
      <c r="E208">
        <v>11</v>
      </c>
      <c r="F208">
        <v>0</v>
      </c>
      <c r="G208" t="s">
        <v>579</v>
      </c>
      <c r="H208">
        <v>55</v>
      </c>
    </row>
    <row r="209" spans="1:8" x14ac:dyDescent="0.25">
      <c r="A209" t="s">
        <v>220</v>
      </c>
      <c r="B209" t="s">
        <v>511</v>
      </c>
      <c r="C209" t="s">
        <v>565</v>
      </c>
      <c r="D209">
        <v>17</v>
      </c>
      <c r="E209">
        <v>3</v>
      </c>
      <c r="F209">
        <v>10</v>
      </c>
      <c r="G209" t="s">
        <v>581</v>
      </c>
      <c r="H209">
        <v>51</v>
      </c>
    </row>
    <row r="210" spans="1:8" x14ac:dyDescent="0.25">
      <c r="A210" t="s">
        <v>221</v>
      </c>
      <c r="B210" t="s">
        <v>512</v>
      </c>
      <c r="C210" t="s">
        <v>569</v>
      </c>
      <c r="D210">
        <v>3</v>
      </c>
      <c r="E210">
        <v>597</v>
      </c>
      <c r="F210">
        <v>10</v>
      </c>
      <c r="G210" t="s">
        <v>578</v>
      </c>
      <c r="H210">
        <v>1791</v>
      </c>
    </row>
    <row r="211" spans="1:8" x14ac:dyDescent="0.25">
      <c r="A211" t="s">
        <v>222</v>
      </c>
      <c r="B211" t="s">
        <v>512</v>
      </c>
      <c r="C211" t="s">
        <v>574</v>
      </c>
      <c r="D211">
        <v>2</v>
      </c>
      <c r="E211">
        <v>64</v>
      </c>
      <c r="F211">
        <v>0</v>
      </c>
      <c r="G211" t="s">
        <v>579</v>
      </c>
      <c r="H211">
        <v>128</v>
      </c>
    </row>
    <row r="212" spans="1:8" x14ac:dyDescent="0.25">
      <c r="A212" t="s">
        <v>223</v>
      </c>
      <c r="B212" t="s">
        <v>513</v>
      </c>
      <c r="C212" t="s">
        <v>567</v>
      </c>
      <c r="D212">
        <v>3</v>
      </c>
      <c r="E212">
        <v>1272</v>
      </c>
      <c r="F212">
        <v>10</v>
      </c>
      <c r="G212" t="s">
        <v>581</v>
      </c>
      <c r="H212">
        <v>3816</v>
      </c>
    </row>
    <row r="213" spans="1:8" x14ac:dyDescent="0.25">
      <c r="A213" t="s">
        <v>224</v>
      </c>
      <c r="B213" t="s">
        <v>514</v>
      </c>
      <c r="C213" t="s">
        <v>572</v>
      </c>
      <c r="D213">
        <v>1</v>
      </c>
      <c r="E213">
        <v>278</v>
      </c>
      <c r="F213">
        <v>15</v>
      </c>
      <c r="G213" t="s">
        <v>579</v>
      </c>
      <c r="H213">
        <v>278</v>
      </c>
    </row>
    <row r="214" spans="1:8" x14ac:dyDescent="0.25">
      <c r="A214" t="s">
        <v>225</v>
      </c>
      <c r="B214" t="s">
        <v>512</v>
      </c>
      <c r="C214" t="s">
        <v>574</v>
      </c>
      <c r="D214">
        <v>6</v>
      </c>
      <c r="E214">
        <v>121</v>
      </c>
      <c r="F214">
        <v>0</v>
      </c>
      <c r="G214" t="s">
        <v>581</v>
      </c>
      <c r="H214">
        <v>726</v>
      </c>
    </row>
    <row r="215" spans="1:8" x14ac:dyDescent="0.25">
      <c r="A215" t="s">
        <v>226</v>
      </c>
      <c r="B215" t="s">
        <v>511</v>
      </c>
      <c r="C215" t="s">
        <v>574</v>
      </c>
      <c r="D215">
        <v>16</v>
      </c>
      <c r="E215">
        <v>137</v>
      </c>
      <c r="F215">
        <v>15</v>
      </c>
      <c r="G215" t="s">
        <v>581</v>
      </c>
      <c r="H215">
        <v>2192</v>
      </c>
    </row>
    <row r="216" spans="1:8" x14ac:dyDescent="0.25">
      <c r="A216" t="s">
        <v>227</v>
      </c>
      <c r="B216" t="s">
        <v>514</v>
      </c>
      <c r="C216" t="s">
        <v>573</v>
      </c>
      <c r="D216">
        <v>11</v>
      </c>
      <c r="E216">
        <v>247</v>
      </c>
      <c r="F216">
        <v>15</v>
      </c>
      <c r="G216" t="s">
        <v>580</v>
      </c>
      <c r="H216">
        <v>2717</v>
      </c>
    </row>
    <row r="217" spans="1:8" x14ac:dyDescent="0.25">
      <c r="A217" t="s">
        <v>228</v>
      </c>
      <c r="B217" t="s">
        <v>511</v>
      </c>
      <c r="C217" t="s">
        <v>573</v>
      </c>
      <c r="D217">
        <v>3</v>
      </c>
      <c r="E217">
        <v>220</v>
      </c>
      <c r="F217">
        <v>5</v>
      </c>
      <c r="G217" t="s">
        <v>580</v>
      </c>
      <c r="H217">
        <v>660</v>
      </c>
    </row>
    <row r="218" spans="1:8" x14ac:dyDescent="0.25">
      <c r="A218" t="s">
        <v>229</v>
      </c>
      <c r="B218" t="s">
        <v>511</v>
      </c>
      <c r="C218" t="s">
        <v>569</v>
      </c>
      <c r="D218">
        <v>6</v>
      </c>
      <c r="E218">
        <v>802</v>
      </c>
      <c r="F218">
        <v>0</v>
      </c>
      <c r="G218" t="s">
        <v>579</v>
      </c>
      <c r="H218">
        <v>4812</v>
      </c>
    </row>
    <row r="219" spans="1:8" x14ac:dyDescent="0.25">
      <c r="A219" t="s">
        <v>230</v>
      </c>
      <c r="B219" t="s">
        <v>513</v>
      </c>
      <c r="C219" t="s">
        <v>571</v>
      </c>
      <c r="D219">
        <v>20</v>
      </c>
      <c r="E219">
        <v>162</v>
      </c>
      <c r="F219">
        <v>0</v>
      </c>
      <c r="G219" t="s">
        <v>578</v>
      </c>
      <c r="H219">
        <v>3240</v>
      </c>
    </row>
    <row r="220" spans="1:8" x14ac:dyDescent="0.25">
      <c r="A220" t="s">
        <v>231</v>
      </c>
      <c r="B220" t="s">
        <v>513</v>
      </c>
      <c r="C220" t="s">
        <v>573</v>
      </c>
      <c r="D220">
        <v>17</v>
      </c>
      <c r="E220">
        <v>195</v>
      </c>
      <c r="F220">
        <v>10</v>
      </c>
      <c r="G220" t="s">
        <v>581</v>
      </c>
      <c r="H220">
        <v>3315</v>
      </c>
    </row>
    <row r="221" spans="1:8" x14ac:dyDescent="0.25">
      <c r="A221" t="s">
        <v>232</v>
      </c>
      <c r="B221" t="s">
        <v>514</v>
      </c>
      <c r="C221" t="s">
        <v>573</v>
      </c>
      <c r="D221">
        <v>17</v>
      </c>
      <c r="E221">
        <v>332</v>
      </c>
      <c r="F221">
        <v>5</v>
      </c>
      <c r="G221" t="s">
        <v>580</v>
      </c>
      <c r="H221">
        <v>5644</v>
      </c>
    </row>
    <row r="222" spans="1:8" x14ac:dyDescent="0.25">
      <c r="A222" t="s">
        <v>233</v>
      </c>
      <c r="B222" t="s">
        <v>512</v>
      </c>
      <c r="C222" t="s">
        <v>565</v>
      </c>
      <c r="D222">
        <v>7</v>
      </c>
      <c r="E222">
        <v>10</v>
      </c>
      <c r="F222">
        <v>10</v>
      </c>
      <c r="G222" t="s">
        <v>581</v>
      </c>
      <c r="H222">
        <v>70</v>
      </c>
    </row>
    <row r="223" spans="1:8" x14ac:dyDescent="0.25">
      <c r="A223" t="s">
        <v>234</v>
      </c>
      <c r="B223" t="s">
        <v>513</v>
      </c>
      <c r="C223" t="s">
        <v>568</v>
      </c>
      <c r="D223">
        <v>18</v>
      </c>
      <c r="E223">
        <v>414</v>
      </c>
      <c r="F223">
        <v>15</v>
      </c>
      <c r="G223" t="s">
        <v>579</v>
      </c>
      <c r="H223">
        <v>7452</v>
      </c>
    </row>
    <row r="224" spans="1:8" x14ac:dyDescent="0.25">
      <c r="A224" t="s">
        <v>235</v>
      </c>
      <c r="B224" t="s">
        <v>513</v>
      </c>
      <c r="C224" t="s">
        <v>570</v>
      </c>
      <c r="D224">
        <v>10</v>
      </c>
      <c r="E224">
        <v>9</v>
      </c>
      <c r="F224">
        <v>10</v>
      </c>
      <c r="G224" t="s">
        <v>578</v>
      </c>
      <c r="H224">
        <v>90</v>
      </c>
    </row>
    <row r="225" spans="1:8" x14ac:dyDescent="0.25">
      <c r="A225" t="s">
        <v>236</v>
      </c>
      <c r="B225" t="s">
        <v>513</v>
      </c>
      <c r="C225" t="s">
        <v>570</v>
      </c>
      <c r="D225">
        <v>2</v>
      </c>
      <c r="E225">
        <v>7</v>
      </c>
      <c r="F225">
        <v>15</v>
      </c>
      <c r="G225" t="s">
        <v>580</v>
      </c>
      <c r="H225">
        <v>14</v>
      </c>
    </row>
    <row r="226" spans="1:8" x14ac:dyDescent="0.25">
      <c r="A226" t="s">
        <v>237</v>
      </c>
      <c r="B226" t="s">
        <v>511</v>
      </c>
      <c r="C226" t="s">
        <v>573</v>
      </c>
      <c r="D226">
        <v>13</v>
      </c>
      <c r="E226">
        <v>201</v>
      </c>
      <c r="F226">
        <v>5</v>
      </c>
      <c r="G226" t="s">
        <v>579</v>
      </c>
      <c r="H226">
        <v>2613</v>
      </c>
    </row>
    <row r="227" spans="1:8" x14ac:dyDescent="0.25">
      <c r="A227" t="s">
        <v>238</v>
      </c>
      <c r="B227" t="s">
        <v>514</v>
      </c>
      <c r="C227" t="s">
        <v>568</v>
      </c>
      <c r="D227">
        <v>7</v>
      </c>
      <c r="E227">
        <v>102</v>
      </c>
      <c r="F227">
        <v>15</v>
      </c>
      <c r="G227" t="s">
        <v>581</v>
      </c>
      <c r="H227">
        <v>714</v>
      </c>
    </row>
    <row r="228" spans="1:8" x14ac:dyDescent="0.25">
      <c r="A228" t="s">
        <v>239</v>
      </c>
      <c r="B228" t="s">
        <v>513</v>
      </c>
      <c r="C228" t="s">
        <v>568</v>
      </c>
      <c r="D228">
        <v>4</v>
      </c>
      <c r="E228">
        <v>224</v>
      </c>
      <c r="F228">
        <v>10</v>
      </c>
      <c r="G228" t="s">
        <v>580</v>
      </c>
      <c r="H228">
        <v>896</v>
      </c>
    </row>
    <row r="229" spans="1:8" x14ac:dyDescent="0.25">
      <c r="A229" t="s">
        <v>240</v>
      </c>
      <c r="B229" t="s">
        <v>513</v>
      </c>
      <c r="C229" t="s">
        <v>567</v>
      </c>
      <c r="D229">
        <v>5</v>
      </c>
      <c r="E229">
        <v>1346</v>
      </c>
      <c r="F229">
        <v>15</v>
      </c>
      <c r="G229" t="s">
        <v>579</v>
      </c>
      <c r="H229">
        <v>6730</v>
      </c>
    </row>
    <row r="230" spans="1:8" x14ac:dyDescent="0.25">
      <c r="A230" t="s">
        <v>241</v>
      </c>
      <c r="B230" t="s">
        <v>512</v>
      </c>
      <c r="C230" t="s">
        <v>571</v>
      </c>
      <c r="D230">
        <v>13</v>
      </c>
      <c r="E230">
        <v>114</v>
      </c>
      <c r="F230">
        <v>15</v>
      </c>
      <c r="G230" t="s">
        <v>581</v>
      </c>
      <c r="H230">
        <v>1482</v>
      </c>
    </row>
    <row r="231" spans="1:8" x14ac:dyDescent="0.25">
      <c r="A231" t="s">
        <v>242</v>
      </c>
      <c r="B231" t="s">
        <v>511</v>
      </c>
      <c r="C231" t="s">
        <v>570</v>
      </c>
      <c r="D231">
        <v>10</v>
      </c>
      <c r="E231">
        <v>6</v>
      </c>
      <c r="F231">
        <v>10</v>
      </c>
      <c r="G231" t="s">
        <v>579</v>
      </c>
      <c r="H231">
        <v>60</v>
      </c>
    </row>
    <row r="232" spans="1:8" x14ac:dyDescent="0.25">
      <c r="A232" t="s">
        <v>243</v>
      </c>
      <c r="B232" t="s">
        <v>511</v>
      </c>
      <c r="C232" t="s">
        <v>565</v>
      </c>
      <c r="D232">
        <v>12</v>
      </c>
      <c r="E232">
        <v>9</v>
      </c>
      <c r="F232">
        <v>0</v>
      </c>
      <c r="G232" t="s">
        <v>581</v>
      </c>
      <c r="H232">
        <v>108</v>
      </c>
    </row>
    <row r="233" spans="1:8" x14ac:dyDescent="0.25">
      <c r="A233" t="s">
        <v>244</v>
      </c>
      <c r="B233" t="s">
        <v>513</v>
      </c>
      <c r="C233" t="s">
        <v>565</v>
      </c>
      <c r="D233">
        <v>20</v>
      </c>
      <c r="E233">
        <v>3</v>
      </c>
      <c r="F233">
        <v>15</v>
      </c>
      <c r="G233" t="s">
        <v>579</v>
      </c>
      <c r="H233">
        <v>60</v>
      </c>
    </row>
    <row r="234" spans="1:8" x14ac:dyDescent="0.25">
      <c r="A234" t="s">
        <v>245</v>
      </c>
      <c r="B234" t="s">
        <v>511</v>
      </c>
      <c r="C234" t="s">
        <v>569</v>
      </c>
      <c r="D234">
        <v>18</v>
      </c>
      <c r="E234">
        <v>965</v>
      </c>
      <c r="F234">
        <v>0</v>
      </c>
      <c r="G234" t="s">
        <v>581</v>
      </c>
      <c r="H234">
        <v>17370</v>
      </c>
    </row>
    <row r="235" spans="1:8" x14ac:dyDescent="0.25">
      <c r="A235" t="s">
        <v>246</v>
      </c>
      <c r="B235" t="s">
        <v>511</v>
      </c>
      <c r="C235" t="s">
        <v>574</v>
      </c>
      <c r="D235">
        <v>20</v>
      </c>
      <c r="E235">
        <v>100</v>
      </c>
      <c r="F235">
        <v>0</v>
      </c>
      <c r="G235" t="s">
        <v>581</v>
      </c>
      <c r="H235">
        <v>2000</v>
      </c>
    </row>
    <row r="236" spans="1:8" x14ac:dyDescent="0.25">
      <c r="A236" t="s">
        <v>247</v>
      </c>
      <c r="B236" t="s">
        <v>512</v>
      </c>
      <c r="C236" t="s">
        <v>568</v>
      </c>
      <c r="D236">
        <v>18</v>
      </c>
      <c r="E236">
        <v>443</v>
      </c>
      <c r="F236">
        <v>5</v>
      </c>
      <c r="G236" t="s">
        <v>579</v>
      </c>
      <c r="H236">
        <v>7974</v>
      </c>
    </row>
    <row r="237" spans="1:8" x14ac:dyDescent="0.25">
      <c r="A237" t="s">
        <v>248</v>
      </c>
      <c r="B237" t="s">
        <v>511</v>
      </c>
      <c r="C237" t="s">
        <v>568</v>
      </c>
      <c r="D237">
        <v>11</v>
      </c>
      <c r="E237">
        <v>411</v>
      </c>
      <c r="F237">
        <v>0</v>
      </c>
      <c r="G237" t="s">
        <v>580</v>
      </c>
      <c r="H237">
        <v>4521</v>
      </c>
    </row>
    <row r="238" spans="1:8" x14ac:dyDescent="0.25">
      <c r="A238" t="s">
        <v>249</v>
      </c>
      <c r="B238" t="s">
        <v>511</v>
      </c>
      <c r="C238" t="s">
        <v>569</v>
      </c>
      <c r="D238">
        <v>5</v>
      </c>
      <c r="E238">
        <v>473</v>
      </c>
      <c r="F238">
        <v>5</v>
      </c>
      <c r="G238" t="s">
        <v>579</v>
      </c>
      <c r="H238">
        <v>2365</v>
      </c>
    </row>
    <row r="239" spans="1:8" x14ac:dyDescent="0.25">
      <c r="A239" t="s">
        <v>250</v>
      </c>
      <c r="B239" t="s">
        <v>513</v>
      </c>
      <c r="C239" t="s">
        <v>569</v>
      </c>
      <c r="D239">
        <v>5</v>
      </c>
      <c r="E239">
        <v>938</v>
      </c>
      <c r="F239">
        <v>10</v>
      </c>
      <c r="G239" t="s">
        <v>580</v>
      </c>
      <c r="H239">
        <v>4690</v>
      </c>
    </row>
    <row r="240" spans="1:8" x14ac:dyDescent="0.25">
      <c r="A240" t="s">
        <v>251</v>
      </c>
      <c r="B240" t="s">
        <v>514</v>
      </c>
      <c r="C240" t="s">
        <v>573</v>
      </c>
      <c r="D240">
        <v>9</v>
      </c>
      <c r="E240">
        <v>211</v>
      </c>
      <c r="F240">
        <v>15</v>
      </c>
      <c r="G240" t="s">
        <v>581</v>
      </c>
      <c r="H240">
        <v>1899</v>
      </c>
    </row>
    <row r="241" spans="1:8" x14ac:dyDescent="0.25">
      <c r="A241" t="s">
        <v>252</v>
      </c>
      <c r="B241" t="s">
        <v>512</v>
      </c>
      <c r="C241" t="s">
        <v>569</v>
      </c>
      <c r="D241">
        <v>19</v>
      </c>
      <c r="E241">
        <v>663</v>
      </c>
      <c r="F241">
        <v>10</v>
      </c>
      <c r="G241" t="s">
        <v>578</v>
      </c>
      <c r="H241">
        <v>12597</v>
      </c>
    </row>
    <row r="242" spans="1:8" x14ac:dyDescent="0.25">
      <c r="A242" t="s">
        <v>253</v>
      </c>
      <c r="B242" t="s">
        <v>511</v>
      </c>
      <c r="C242" t="s">
        <v>565</v>
      </c>
      <c r="D242">
        <v>1</v>
      </c>
      <c r="E242">
        <v>2</v>
      </c>
      <c r="F242">
        <v>15</v>
      </c>
      <c r="G242" t="s">
        <v>580</v>
      </c>
      <c r="H242">
        <v>2</v>
      </c>
    </row>
    <row r="243" spans="1:8" x14ac:dyDescent="0.25">
      <c r="A243" t="s">
        <v>254</v>
      </c>
      <c r="B243" t="s">
        <v>514</v>
      </c>
      <c r="C243" t="s">
        <v>574</v>
      </c>
      <c r="D243">
        <v>11</v>
      </c>
      <c r="E243">
        <v>40</v>
      </c>
      <c r="F243">
        <v>10</v>
      </c>
      <c r="G243" t="s">
        <v>579</v>
      </c>
      <c r="H243">
        <v>440</v>
      </c>
    </row>
    <row r="244" spans="1:8" x14ac:dyDescent="0.25">
      <c r="A244" t="s">
        <v>255</v>
      </c>
      <c r="B244" t="s">
        <v>512</v>
      </c>
      <c r="C244" t="s">
        <v>571</v>
      </c>
      <c r="D244">
        <v>20</v>
      </c>
      <c r="E244">
        <v>246</v>
      </c>
      <c r="F244">
        <v>5</v>
      </c>
      <c r="G244" t="s">
        <v>581</v>
      </c>
      <c r="H244">
        <v>4920</v>
      </c>
    </row>
    <row r="245" spans="1:8" x14ac:dyDescent="0.25">
      <c r="A245" t="s">
        <v>256</v>
      </c>
      <c r="B245" t="s">
        <v>512</v>
      </c>
      <c r="C245" t="s">
        <v>567</v>
      </c>
      <c r="D245">
        <v>11</v>
      </c>
      <c r="E245">
        <v>844</v>
      </c>
      <c r="F245">
        <v>10</v>
      </c>
      <c r="G245" t="s">
        <v>579</v>
      </c>
      <c r="H245">
        <v>9284</v>
      </c>
    </row>
    <row r="246" spans="1:8" x14ac:dyDescent="0.25">
      <c r="A246" t="s">
        <v>257</v>
      </c>
      <c r="B246" t="s">
        <v>513</v>
      </c>
      <c r="C246" t="s">
        <v>574</v>
      </c>
      <c r="D246">
        <v>13</v>
      </c>
      <c r="E246">
        <v>69</v>
      </c>
      <c r="F246">
        <v>10</v>
      </c>
      <c r="G246" t="s">
        <v>579</v>
      </c>
      <c r="H246">
        <v>897</v>
      </c>
    </row>
    <row r="247" spans="1:8" x14ac:dyDescent="0.25">
      <c r="A247" t="s">
        <v>258</v>
      </c>
      <c r="B247" t="s">
        <v>514</v>
      </c>
      <c r="C247" t="s">
        <v>571</v>
      </c>
      <c r="D247">
        <v>17</v>
      </c>
      <c r="E247">
        <v>200</v>
      </c>
      <c r="F247">
        <v>15</v>
      </c>
      <c r="G247" t="s">
        <v>579</v>
      </c>
      <c r="H247">
        <v>3400</v>
      </c>
    </row>
    <row r="248" spans="1:8" x14ac:dyDescent="0.25">
      <c r="A248" t="s">
        <v>259</v>
      </c>
      <c r="B248" t="s">
        <v>511</v>
      </c>
      <c r="C248" t="s">
        <v>565</v>
      </c>
      <c r="D248">
        <v>4</v>
      </c>
      <c r="E248">
        <v>9</v>
      </c>
      <c r="F248">
        <v>10</v>
      </c>
      <c r="G248" t="s">
        <v>581</v>
      </c>
      <c r="H248">
        <v>36</v>
      </c>
    </row>
    <row r="249" spans="1:8" x14ac:dyDescent="0.25">
      <c r="A249" t="s">
        <v>260</v>
      </c>
      <c r="B249" t="s">
        <v>514</v>
      </c>
      <c r="C249" t="s">
        <v>574</v>
      </c>
      <c r="D249">
        <v>9</v>
      </c>
      <c r="E249">
        <v>94</v>
      </c>
      <c r="F249">
        <v>15</v>
      </c>
      <c r="G249" t="s">
        <v>579</v>
      </c>
      <c r="H249">
        <v>846</v>
      </c>
    </row>
    <row r="250" spans="1:8" x14ac:dyDescent="0.25">
      <c r="A250" t="s">
        <v>261</v>
      </c>
      <c r="B250" t="s">
        <v>511</v>
      </c>
      <c r="C250" t="s">
        <v>566</v>
      </c>
      <c r="D250">
        <v>14</v>
      </c>
      <c r="E250">
        <v>424</v>
      </c>
      <c r="F250">
        <v>5</v>
      </c>
      <c r="G250" t="s">
        <v>578</v>
      </c>
      <c r="H250">
        <v>5936</v>
      </c>
    </row>
    <row r="251" spans="1:8" x14ac:dyDescent="0.25">
      <c r="A251" t="s">
        <v>262</v>
      </c>
      <c r="B251" t="s">
        <v>513</v>
      </c>
      <c r="C251" t="s">
        <v>571</v>
      </c>
      <c r="D251">
        <v>19</v>
      </c>
      <c r="E251">
        <v>249</v>
      </c>
      <c r="F251">
        <v>10</v>
      </c>
      <c r="G251" t="s">
        <v>581</v>
      </c>
      <c r="H251">
        <v>4731</v>
      </c>
    </row>
    <row r="252" spans="1:8" x14ac:dyDescent="0.25">
      <c r="A252" t="s">
        <v>263</v>
      </c>
      <c r="B252" t="s">
        <v>513</v>
      </c>
      <c r="C252" t="s">
        <v>570</v>
      </c>
      <c r="D252">
        <v>13</v>
      </c>
      <c r="E252">
        <v>13</v>
      </c>
      <c r="F252">
        <v>5</v>
      </c>
      <c r="G252" t="s">
        <v>580</v>
      </c>
      <c r="H252">
        <v>169</v>
      </c>
    </row>
    <row r="253" spans="1:8" x14ac:dyDescent="0.25">
      <c r="A253" t="s">
        <v>264</v>
      </c>
      <c r="B253" t="s">
        <v>513</v>
      </c>
      <c r="C253" t="s">
        <v>570</v>
      </c>
      <c r="D253">
        <v>19</v>
      </c>
      <c r="E253">
        <v>15</v>
      </c>
      <c r="F253">
        <v>10</v>
      </c>
      <c r="G253" t="s">
        <v>579</v>
      </c>
      <c r="H253">
        <v>285</v>
      </c>
    </row>
    <row r="254" spans="1:8" x14ac:dyDescent="0.25">
      <c r="A254" t="s">
        <v>265</v>
      </c>
      <c r="B254" t="s">
        <v>511</v>
      </c>
      <c r="C254" t="s">
        <v>572</v>
      </c>
      <c r="D254">
        <v>6</v>
      </c>
      <c r="E254">
        <v>61</v>
      </c>
      <c r="F254">
        <v>10</v>
      </c>
      <c r="G254" t="s">
        <v>579</v>
      </c>
      <c r="H254">
        <v>366</v>
      </c>
    </row>
    <row r="255" spans="1:8" x14ac:dyDescent="0.25">
      <c r="A255" t="s">
        <v>266</v>
      </c>
      <c r="B255" t="s">
        <v>514</v>
      </c>
      <c r="C255" t="s">
        <v>573</v>
      </c>
      <c r="D255">
        <v>8</v>
      </c>
      <c r="E255">
        <v>355</v>
      </c>
      <c r="F255">
        <v>15</v>
      </c>
      <c r="G255" t="s">
        <v>580</v>
      </c>
      <c r="H255">
        <v>2840</v>
      </c>
    </row>
    <row r="256" spans="1:8" x14ac:dyDescent="0.25">
      <c r="A256" t="s">
        <v>267</v>
      </c>
      <c r="B256" t="s">
        <v>513</v>
      </c>
      <c r="C256" t="s">
        <v>571</v>
      </c>
      <c r="D256">
        <v>11</v>
      </c>
      <c r="E256">
        <v>237</v>
      </c>
      <c r="F256">
        <v>0</v>
      </c>
      <c r="G256" t="s">
        <v>581</v>
      </c>
      <c r="H256">
        <v>2607</v>
      </c>
    </row>
    <row r="257" spans="1:8" x14ac:dyDescent="0.25">
      <c r="A257" t="s">
        <v>268</v>
      </c>
      <c r="B257" t="s">
        <v>514</v>
      </c>
      <c r="C257" t="s">
        <v>572</v>
      </c>
      <c r="D257">
        <v>5</v>
      </c>
      <c r="E257">
        <v>230</v>
      </c>
      <c r="F257">
        <v>0</v>
      </c>
      <c r="G257" t="s">
        <v>581</v>
      </c>
      <c r="H257">
        <v>1150</v>
      </c>
    </row>
    <row r="258" spans="1:8" x14ac:dyDescent="0.25">
      <c r="A258" t="s">
        <v>269</v>
      </c>
      <c r="B258" t="s">
        <v>511</v>
      </c>
      <c r="C258" t="s">
        <v>573</v>
      </c>
      <c r="D258">
        <v>4</v>
      </c>
      <c r="E258">
        <v>353</v>
      </c>
      <c r="F258">
        <v>5</v>
      </c>
      <c r="G258" t="s">
        <v>579</v>
      </c>
      <c r="H258">
        <v>1412</v>
      </c>
    </row>
    <row r="259" spans="1:8" x14ac:dyDescent="0.25">
      <c r="A259" t="s">
        <v>270</v>
      </c>
      <c r="B259" t="s">
        <v>514</v>
      </c>
      <c r="C259" t="s">
        <v>573</v>
      </c>
      <c r="D259">
        <v>1</v>
      </c>
      <c r="E259">
        <v>271</v>
      </c>
      <c r="F259">
        <v>0</v>
      </c>
      <c r="G259" t="s">
        <v>579</v>
      </c>
      <c r="H259">
        <v>271</v>
      </c>
    </row>
    <row r="260" spans="1:8" x14ac:dyDescent="0.25">
      <c r="A260" t="s">
        <v>271</v>
      </c>
      <c r="B260" t="s">
        <v>512</v>
      </c>
      <c r="C260" t="s">
        <v>566</v>
      </c>
      <c r="D260">
        <v>4</v>
      </c>
      <c r="E260">
        <v>143</v>
      </c>
      <c r="F260">
        <v>5</v>
      </c>
      <c r="G260" t="s">
        <v>579</v>
      </c>
      <c r="H260">
        <v>572</v>
      </c>
    </row>
    <row r="261" spans="1:8" x14ac:dyDescent="0.25">
      <c r="A261" t="s">
        <v>272</v>
      </c>
      <c r="B261" t="s">
        <v>512</v>
      </c>
      <c r="C261" t="s">
        <v>569</v>
      </c>
      <c r="D261">
        <v>15</v>
      </c>
      <c r="E261">
        <v>858</v>
      </c>
      <c r="F261">
        <v>10</v>
      </c>
      <c r="G261" t="s">
        <v>578</v>
      </c>
      <c r="H261">
        <v>12870</v>
      </c>
    </row>
    <row r="262" spans="1:8" x14ac:dyDescent="0.25">
      <c r="A262" t="s">
        <v>273</v>
      </c>
      <c r="B262" t="s">
        <v>511</v>
      </c>
      <c r="C262" t="s">
        <v>566</v>
      </c>
      <c r="D262">
        <v>7</v>
      </c>
      <c r="E262">
        <v>430</v>
      </c>
      <c r="F262">
        <v>15</v>
      </c>
      <c r="G262" t="s">
        <v>580</v>
      </c>
      <c r="H262">
        <v>3010</v>
      </c>
    </row>
    <row r="263" spans="1:8" x14ac:dyDescent="0.25">
      <c r="A263" t="s">
        <v>274</v>
      </c>
      <c r="B263" t="s">
        <v>514</v>
      </c>
      <c r="C263" t="s">
        <v>565</v>
      </c>
      <c r="D263">
        <v>16</v>
      </c>
      <c r="E263">
        <v>3</v>
      </c>
      <c r="F263">
        <v>15</v>
      </c>
      <c r="G263" t="s">
        <v>578</v>
      </c>
      <c r="H263">
        <v>48</v>
      </c>
    </row>
    <row r="264" spans="1:8" x14ac:dyDescent="0.25">
      <c r="A264" t="s">
        <v>275</v>
      </c>
      <c r="B264" t="s">
        <v>511</v>
      </c>
      <c r="C264" t="s">
        <v>565</v>
      </c>
      <c r="D264">
        <v>17</v>
      </c>
      <c r="E264">
        <v>7</v>
      </c>
      <c r="F264">
        <v>15</v>
      </c>
      <c r="G264" t="s">
        <v>579</v>
      </c>
      <c r="H264">
        <v>119</v>
      </c>
    </row>
    <row r="265" spans="1:8" x14ac:dyDescent="0.25">
      <c r="A265" t="s">
        <v>276</v>
      </c>
      <c r="B265" t="s">
        <v>514</v>
      </c>
      <c r="C265" t="s">
        <v>571</v>
      </c>
      <c r="D265">
        <v>5</v>
      </c>
      <c r="E265">
        <v>247</v>
      </c>
      <c r="F265">
        <v>0</v>
      </c>
      <c r="G265" t="s">
        <v>579</v>
      </c>
      <c r="H265">
        <v>1235</v>
      </c>
    </row>
    <row r="266" spans="1:8" x14ac:dyDescent="0.25">
      <c r="A266" t="s">
        <v>277</v>
      </c>
      <c r="B266" t="s">
        <v>513</v>
      </c>
      <c r="C266" t="s">
        <v>566</v>
      </c>
      <c r="D266">
        <v>6</v>
      </c>
      <c r="E266">
        <v>401</v>
      </c>
      <c r="F266">
        <v>15</v>
      </c>
      <c r="G266" t="s">
        <v>579</v>
      </c>
      <c r="H266">
        <v>2406</v>
      </c>
    </row>
    <row r="267" spans="1:8" x14ac:dyDescent="0.25">
      <c r="A267" t="s">
        <v>278</v>
      </c>
      <c r="B267" t="s">
        <v>514</v>
      </c>
      <c r="C267" t="s">
        <v>571</v>
      </c>
      <c r="D267">
        <v>15</v>
      </c>
      <c r="E267">
        <v>167</v>
      </c>
      <c r="F267">
        <v>15</v>
      </c>
      <c r="G267" t="s">
        <v>580</v>
      </c>
      <c r="H267">
        <v>2505</v>
      </c>
    </row>
    <row r="268" spans="1:8" x14ac:dyDescent="0.25">
      <c r="A268" t="s">
        <v>279</v>
      </c>
      <c r="B268" t="s">
        <v>512</v>
      </c>
      <c r="C268" t="s">
        <v>574</v>
      </c>
      <c r="D268">
        <v>16</v>
      </c>
      <c r="E268">
        <v>27</v>
      </c>
      <c r="F268">
        <v>10</v>
      </c>
      <c r="G268" t="s">
        <v>580</v>
      </c>
      <c r="H268">
        <v>432</v>
      </c>
    </row>
    <row r="269" spans="1:8" x14ac:dyDescent="0.25">
      <c r="A269" t="s">
        <v>280</v>
      </c>
      <c r="B269" t="s">
        <v>514</v>
      </c>
      <c r="C269" t="s">
        <v>566</v>
      </c>
      <c r="D269">
        <v>5</v>
      </c>
      <c r="E269">
        <v>439</v>
      </c>
      <c r="F269">
        <v>10</v>
      </c>
      <c r="G269" t="s">
        <v>581</v>
      </c>
      <c r="H269">
        <v>2195</v>
      </c>
    </row>
    <row r="270" spans="1:8" x14ac:dyDescent="0.25">
      <c r="A270" t="s">
        <v>281</v>
      </c>
      <c r="B270" t="s">
        <v>512</v>
      </c>
      <c r="C270" t="s">
        <v>571</v>
      </c>
      <c r="D270">
        <v>6</v>
      </c>
      <c r="E270">
        <v>297</v>
      </c>
      <c r="F270">
        <v>5</v>
      </c>
      <c r="G270" t="s">
        <v>581</v>
      </c>
      <c r="H270">
        <v>1782</v>
      </c>
    </row>
    <row r="271" spans="1:8" x14ac:dyDescent="0.25">
      <c r="A271" t="s">
        <v>282</v>
      </c>
      <c r="B271" t="s">
        <v>511</v>
      </c>
      <c r="C271" t="s">
        <v>568</v>
      </c>
      <c r="D271">
        <v>3</v>
      </c>
      <c r="E271">
        <v>242</v>
      </c>
      <c r="F271">
        <v>15</v>
      </c>
      <c r="G271" t="s">
        <v>579</v>
      </c>
      <c r="H271">
        <v>726</v>
      </c>
    </row>
    <row r="272" spans="1:8" x14ac:dyDescent="0.25">
      <c r="A272" t="s">
        <v>283</v>
      </c>
      <c r="B272" t="s">
        <v>513</v>
      </c>
      <c r="C272" t="s">
        <v>567</v>
      </c>
      <c r="D272">
        <v>6</v>
      </c>
      <c r="E272">
        <v>818</v>
      </c>
      <c r="F272">
        <v>15</v>
      </c>
      <c r="G272" t="s">
        <v>580</v>
      </c>
      <c r="H272">
        <v>4908</v>
      </c>
    </row>
    <row r="273" spans="1:8" x14ac:dyDescent="0.25">
      <c r="A273" t="s">
        <v>284</v>
      </c>
      <c r="B273" t="s">
        <v>511</v>
      </c>
      <c r="C273" t="s">
        <v>565</v>
      </c>
      <c r="D273">
        <v>15</v>
      </c>
      <c r="E273">
        <v>2</v>
      </c>
      <c r="F273">
        <v>5</v>
      </c>
      <c r="G273" t="s">
        <v>580</v>
      </c>
      <c r="H273">
        <v>30</v>
      </c>
    </row>
    <row r="274" spans="1:8" x14ac:dyDescent="0.25">
      <c r="A274" t="s">
        <v>285</v>
      </c>
      <c r="B274" t="s">
        <v>512</v>
      </c>
      <c r="C274" t="s">
        <v>574</v>
      </c>
      <c r="D274">
        <v>17</v>
      </c>
      <c r="E274">
        <v>134</v>
      </c>
      <c r="F274">
        <v>0</v>
      </c>
      <c r="G274" t="s">
        <v>581</v>
      </c>
      <c r="H274">
        <v>2278</v>
      </c>
    </row>
    <row r="275" spans="1:8" x14ac:dyDescent="0.25">
      <c r="A275" t="s">
        <v>286</v>
      </c>
      <c r="B275" t="s">
        <v>512</v>
      </c>
      <c r="C275" t="s">
        <v>574</v>
      </c>
      <c r="D275">
        <v>7</v>
      </c>
      <c r="E275">
        <v>32</v>
      </c>
      <c r="F275">
        <v>15</v>
      </c>
      <c r="G275" t="s">
        <v>580</v>
      </c>
      <c r="H275">
        <v>224</v>
      </c>
    </row>
    <row r="276" spans="1:8" x14ac:dyDescent="0.25">
      <c r="A276" t="s">
        <v>287</v>
      </c>
      <c r="B276" t="s">
        <v>511</v>
      </c>
      <c r="C276" t="s">
        <v>569</v>
      </c>
      <c r="D276">
        <v>10</v>
      </c>
      <c r="E276">
        <v>450</v>
      </c>
      <c r="F276">
        <v>10</v>
      </c>
      <c r="G276" t="s">
        <v>580</v>
      </c>
      <c r="H276">
        <v>4500</v>
      </c>
    </row>
    <row r="277" spans="1:8" x14ac:dyDescent="0.25">
      <c r="A277" t="s">
        <v>288</v>
      </c>
      <c r="B277" t="s">
        <v>513</v>
      </c>
      <c r="C277" t="s">
        <v>570</v>
      </c>
      <c r="D277">
        <v>8</v>
      </c>
      <c r="E277">
        <v>11</v>
      </c>
      <c r="F277">
        <v>15</v>
      </c>
      <c r="G277" t="s">
        <v>579</v>
      </c>
      <c r="H277">
        <v>88</v>
      </c>
    </row>
    <row r="278" spans="1:8" x14ac:dyDescent="0.25">
      <c r="A278" t="s">
        <v>289</v>
      </c>
      <c r="B278" t="s">
        <v>514</v>
      </c>
      <c r="C278" t="s">
        <v>566</v>
      </c>
      <c r="D278">
        <v>6</v>
      </c>
      <c r="E278">
        <v>153</v>
      </c>
      <c r="F278">
        <v>10</v>
      </c>
      <c r="G278" t="s">
        <v>581</v>
      </c>
      <c r="H278">
        <v>918</v>
      </c>
    </row>
    <row r="279" spans="1:8" x14ac:dyDescent="0.25">
      <c r="A279" t="s">
        <v>290</v>
      </c>
      <c r="B279" t="s">
        <v>514</v>
      </c>
      <c r="C279" t="s">
        <v>566</v>
      </c>
      <c r="D279">
        <v>12</v>
      </c>
      <c r="E279">
        <v>226</v>
      </c>
      <c r="F279">
        <v>10</v>
      </c>
      <c r="G279" t="s">
        <v>578</v>
      </c>
      <c r="H279">
        <v>2712</v>
      </c>
    </row>
    <row r="280" spans="1:8" x14ac:dyDescent="0.25">
      <c r="A280" t="s">
        <v>291</v>
      </c>
      <c r="B280" t="s">
        <v>512</v>
      </c>
      <c r="C280" t="s">
        <v>572</v>
      </c>
      <c r="D280">
        <v>7</v>
      </c>
      <c r="E280">
        <v>200</v>
      </c>
      <c r="F280">
        <v>0</v>
      </c>
      <c r="G280" t="s">
        <v>580</v>
      </c>
      <c r="H280">
        <v>1400</v>
      </c>
    </row>
    <row r="281" spans="1:8" x14ac:dyDescent="0.25">
      <c r="A281" t="s">
        <v>292</v>
      </c>
      <c r="B281" t="s">
        <v>514</v>
      </c>
      <c r="C281" t="s">
        <v>567</v>
      </c>
      <c r="D281">
        <v>4</v>
      </c>
      <c r="E281">
        <v>928</v>
      </c>
      <c r="F281">
        <v>5</v>
      </c>
      <c r="G281" t="s">
        <v>581</v>
      </c>
      <c r="H281">
        <v>3712</v>
      </c>
    </row>
    <row r="282" spans="1:8" x14ac:dyDescent="0.25">
      <c r="A282" t="s">
        <v>293</v>
      </c>
      <c r="B282" t="s">
        <v>513</v>
      </c>
      <c r="C282" t="s">
        <v>568</v>
      </c>
      <c r="D282">
        <v>8</v>
      </c>
      <c r="E282">
        <v>165</v>
      </c>
      <c r="F282">
        <v>0</v>
      </c>
      <c r="G282" t="s">
        <v>579</v>
      </c>
      <c r="H282">
        <v>1320</v>
      </c>
    </row>
    <row r="283" spans="1:8" x14ac:dyDescent="0.25">
      <c r="A283" t="s">
        <v>294</v>
      </c>
      <c r="B283" t="s">
        <v>511</v>
      </c>
      <c r="C283" t="s">
        <v>574</v>
      </c>
      <c r="D283">
        <v>7</v>
      </c>
      <c r="E283">
        <v>138</v>
      </c>
      <c r="F283">
        <v>0</v>
      </c>
      <c r="G283" t="s">
        <v>579</v>
      </c>
      <c r="H283">
        <v>966</v>
      </c>
    </row>
    <row r="284" spans="1:8" x14ac:dyDescent="0.25">
      <c r="A284" t="s">
        <v>295</v>
      </c>
      <c r="B284" t="s">
        <v>511</v>
      </c>
      <c r="C284" t="s">
        <v>566</v>
      </c>
      <c r="D284">
        <v>7</v>
      </c>
      <c r="E284">
        <v>452</v>
      </c>
      <c r="F284">
        <v>0</v>
      </c>
      <c r="G284" t="s">
        <v>581</v>
      </c>
      <c r="H284">
        <v>3164</v>
      </c>
    </row>
    <row r="285" spans="1:8" x14ac:dyDescent="0.25">
      <c r="A285" t="s">
        <v>296</v>
      </c>
      <c r="B285" t="s">
        <v>512</v>
      </c>
      <c r="C285" t="s">
        <v>568</v>
      </c>
      <c r="D285">
        <v>9</v>
      </c>
      <c r="E285">
        <v>195</v>
      </c>
      <c r="F285">
        <v>5</v>
      </c>
      <c r="G285" t="s">
        <v>578</v>
      </c>
      <c r="H285">
        <v>1755</v>
      </c>
    </row>
    <row r="286" spans="1:8" x14ac:dyDescent="0.25">
      <c r="A286" t="s">
        <v>297</v>
      </c>
      <c r="B286" t="s">
        <v>511</v>
      </c>
      <c r="C286" t="s">
        <v>569</v>
      </c>
      <c r="D286">
        <v>3</v>
      </c>
      <c r="E286">
        <v>410</v>
      </c>
      <c r="F286">
        <v>10</v>
      </c>
      <c r="G286" t="s">
        <v>581</v>
      </c>
      <c r="H286">
        <v>1230</v>
      </c>
    </row>
    <row r="287" spans="1:8" x14ac:dyDescent="0.25">
      <c r="A287" t="s">
        <v>298</v>
      </c>
      <c r="B287" t="s">
        <v>511</v>
      </c>
      <c r="C287" t="s">
        <v>568</v>
      </c>
      <c r="D287">
        <v>12</v>
      </c>
      <c r="E287">
        <v>410</v>
      </c>
      <c r="F287">
        <v>5</v>
      </c>
      <c r="G287" t="s">
        <v>581</v>
      </c>
      <c r="H287">
        <v>4920</v>
      </c>
    </row>
    <row r="288" spans="1:8" x14ac:dyDescent="0.25">
      <c r="A288" t="s">
        <v>299</v>
      </c>
      <c r="B288" t="s">
        <v>512</v>
      </c>
      <c r="C288" t="s">
        <v>573</v>
      </c>
      <c r="D288">
        <v>19</v>
      </c>
      <c r="E288">
        <v>209</v>
      </c>
      <c r="F288">
        <v>10</v>
      </c>
      <c r="G288" t="s">
        <v>579</v>
      </c>
      <c r="H288">
        <v>3971</v>
      </c>
    </row>
    <row r="289" spans="1:8" x14ac:dyDescent="0.25">
      <c r="A289" t="s">
        <v>300</v>
      </c>
      <c r="B289" t="s">
        <v>513</v>
      </c>
      <c r="C289" t="s">
        <v>568</v>
      </c>
      <c r="D289">
        <v>12</v>
      </c>
      <c r="E289">
        <v>249</v>
      </c>
      <c r="F289">
        <v>10</v>
      </c>
      <c r="G289" t="s">
        <v>581</v>
      </c>
      <c r="H289">
        <v>2988</v>
      </c>
    </row>
    <row r="290" spans="1:8" x14ac:dyDescent="0.25">
      <c r="A290" t="s">
        <v>301</v>
      </c>
      <c r="B290" t="s">
        <v>514</v>
      </c>
      <c r="C290" t="s">
        <v>571</v>
      </c>
      <c r="D290">
        <v>15</v>
      </c>
      <c r="E290">
        <v>114</v>
      </c>
      <c r="F290">
        <v>5</v>
      </c>
      <c r="G290" t="s">
        <v>578</v>
      </c>
      <c r="H290">
        <v>1710</v>
      </c>
    </row>
    <row r="291" spans="1:8" x14ac:dyDescent="0.25">
      <c r="A291" t="s">
        <v>302</v>
      </c>
      <c r="B291" t="s">
        <v>514</v>
      </c>
      <c r="C291" t="s">
        <v>574</v>
      </c>
      <c r="D291">
        <v>19</v>
      </c>
      <c r="E291">
        <v>49</v>
      </c>
      <c r="F291">
        <v>0</v>
      </c>
      <c r="G291" t="s">
        <v>578</v>
      </c>
      <c r="H291">
        <v>931</v>
      </c>
    </row>
    <row r="292" spans="1:8" x14ac:dyDescent="0.25">
      <c r="A292" t="s">
        <v>303</v>
      </c>
      <c r="B292" t="s">
        <v>514</v>
      </c>
      <c r="C292" t="s">
        <v>573</v>
      </c>
      <c r="D292">
        <v>12</v>
      </c>
      <c r="E292">
        <v>343</v>
      </c>
      <c r="F292">
        <v>10</v>
      </c>
      <c r="G292" t="s">
        <v>579</v>
      </c>
      <c r="H292">
        <v>4116</v>
      </c>
    </row>
    <row r="293" spans="1:8" x14ac:dyDescent="0.25">
      <c r="A293" t="s">
        <v>304</v>
      </c>
      <c r="B293" t="s">
        <v>514</v>
      </c>
      <c r="C293" t="s">
        <v>572</v>
      </c>
      <c r="D293">
        <v>12</v>
      </c>
      <c r="E293">
        <v>57</v>
      </c>
      <c r="F293">
        <v>10</v>
      </c>
      <c r="G293" t="s">
        <v>580</v>
      </c>
      <c r="H293">
        <v>684</v>
      </c>
    </row>
    <row r="294" spans="1:8" x14ac:dyDescent="0.25">
      <c r="A294" t="s">
        <v>305</v>
      </c>
      <c r="B294" t="s">
        <v>512</v>
      </c>
      <c r="C294" t="s">
        <v>571</v>
      </c>
      <c r="D294">
        <v>15</v>
      </c>
      <c r="E294">
        <v>106</v>
      </c>
      <c r="F294">
        <v>10</v>
      </c>
      <c r="G294" t="s">
        <v>579</v>
      </c>
      <c r="H294">
        <v>1590</v>
      </c>
    </row>
    <row r="295" spans="1:8" x14ac:dyDescent="0.25">
      <c r="A295" t="s">
        <v>306</v>
      </c>
      <c r="B295" t="s">
        <v>513</v>
      </c>
      <c r="C295" t="s">
        <v>565</v>
      </c>
      <c r="D295">
        <v>1</v>
      </c>
      <c r="E295">
        <v>8</v>
      </c>
      <c r="F295">
        <v>0</v>
      </c>
      <c r="G295" t="s">
        <v>579</v>
      </c>
      <c r="H295">
        <v>8</v>
      </c>
    </row>
    <row r="296" spans="1:8" x14ac:dyDescent="0.25">
      <c r="A296" t="s">
        <v>307</v>
      </c>
      <c r="B296" t="s">
        <v>512</v>
      </c>
      <c r="C296" t="s">
        <v>572</v>
      </c>
      <c r="D296">
        <v>16</v>
      </c>
      <c r="E296">
        <v>250</v>
      </c>
      <c r="F296">
        <v>15</v>
      </c>
      <c r="G296" t="s">
        <v>579</v>
      </c>
      <c r="H296">
        <v>4000</v>
      </c>
    </row>
    <row r="297" spans="1:8" x14ac:dyDescent="0.25">
      <c r="A297" t="s">
        <v>308</v>
      </c>
      <c r="B297" t="s">
        <v>511</v>
      </c>
      <c r="C297" t="s">
        <v>566</v>
      </c>
      <c r="D297">
        <v>4</v>
      </c>
      <c r="E297">
        <v>298</v>
      </c>
      <c r="F297">
        <v>5</v>
      </c>
      <c r="G297" t="s">
        <v>578</v>
      </c>
      <c r="H297">
        <v>1192</v>
      </c>
    </row>
    <row r="298" spans="1:8" x14ac:dyDescent="0.25">
      <c r="A298" t="s">
        <v>309</v>
      </c>
      <c r="B298" t="s">
        <v>511</v>
      </c>
      <c r="C298" t="s">
        <v>573</v>
      </c>
      <c r="D298">
        <v>19</v>
      </c>
      <c r="E298">
        <v>158</v>
      </c>
      <c r="F298">
        <v>15</v>
      </c>
      <c r="G298" t="s">
        <v>578</v>
      </c>
      <c r="H298">
        <v>3002</v>
      </c>
    </row>
    <row r="299" spans="1:8" x14ac:dyDescent="0.25">
      <c r="A299" t="s">
        <v>310</v>
      </c>
      <c r="B299" t="s">
        <v>511</v>
      </c>
      <c r="C299" t="s">
        <v>567</v>
      </c>
      <c r="D299">
        <v>7</v>
      </c>
      <c r="E299">
        <v>837</v>
      </c>
      <c r="F299">
        <v>10</v>
      </c>
      <c r="G299" t="s">
        <v>581</v>
      </c>
      <c r="H299">
        <v>5859</v>
      </c>
    </row>
    <row r="300" spans="1:8" x14ac:dyDescent="0.25">
      <c r="A300" t="s">
        <v>311</v>
      </c>
      <c r="B300" t="s">
        <v>513</v>
      </c>
      <c r="C300" t="s">
        <v>567</v>
      </c>
      <c r="D300">
        <v>2</v>
      </c>
      <c r="E300">
        <v>1339</v>
      </c>
      <c r="F300">
        <v>5</v>
      </c>
      <c r="G300" t="s">
        <v>580</v>
      </c>
      <c r="H300">
        <v>2678</v>
      </c>
    </row>
    <row r="301" spans="1:8" x14ac:dyDescent="0.25">
      <c r="A301" t="s">
        <v>312</v>
      </c>
      <c r="B301" t="s">
        <v>512</v>
      </c>
      <c r="C301" t="s">
        <v>573</v>
      </c>
      <c r="D301">
        <v>2</v>
      </c>
      <c r="E301">
        <v>373</v>
      </c>
      <c r="F301">
        <v>15</v>
      </c>
      <c r="G301" t="s">
        <v>580</v>
      </c>
      <c r="H301">
        <v>746</v>
      </c>
    </row>
    <row r="302" spans="1:8" x14ac:dyDescent="0.25">
      <c r="A302" t="s">
        <v>313</v>
      </c>
      <c r="B302" t="s">
        <v>513</v>
      </c>
      <c r="C302" t="s">
        <v>567</v>
      </c>
      <c r="D302">
        <v>20</v>
      </c>
      <c r="E302">
        <v>1443</v>
      </c>
      <c r="F302">
        <v>5</v>
      </c>
      <c r="G302" t="s">
        <v>579</v>
      </c>
      <c r="H302">
        <v>28860</v>
      </c>
    </row>
    <row r="303" spans="1:8" x14ac:dyDescent="0.25">
      <c r="A303" t="s">
        <v>314</v>
      </c>
      <c r="B303" t="s">
        <v>512</v>
      </c>
      <c r="C303" t="s">
        <v>565</v>
      </c>
      <c r="D303">
        <v>13</v>
      </c>
      <c r="E303">
        <v>3</v>
      </c>
      <c r="F303">
        <v>0</v>
      </c>
      <c r="G303" t="s">
        <v>579</v>
      </c>
      <c r="H303">
        <v>39</v>
      </c>
    </row>
    <row r="304" spans="1:8" x14ac:dyDescent="0.25">
      <c r="A304" t="s">
        <v>315</v>
      </c>
      <c r="B304" t="s">
        <v>512</v>
      </c>
      <c r="C304" t="s">
        <v>572</v>
      </c>
      <c r="D304">
        <v>3</v>
      </c>
      <c r="E304">
        <v>95</v>
      </c>
      <c r="F304">
        <v>10</v>
      </c>
      <c r="G304" t="s">
        <v>581</v>
      </c>
      <c r="H304">
        <v>285</v>
      </c>
    </row>
    <row r="305" spans="1:8" x14ac:dyDescent="0.25">
      <c r="A305" t="s">
        <v>316</v>
      </c>
      <c r="B305" t="s">
        <v>512</v>
      </c>
      <c r="C305" t="s">
        <v>569</v>
      </c>
      <c r="D305">
        <v>15</v>
      </c>
      <c r="E305">
        <v>481</v>
      </c>
      <c r="F305">
        <v>10</v>
      </c>
      <c r="G305" t="s">
        <v>578</v>
      </c>
      <c r="H305">
        <v>7215</v>
      </c>
    </row>
    <row r="306" spans="1:8" x14ac:dyDescent="0.25">
      <c r="A306" t="s">
        <v>317</v>
      </c>
      <c r="B306" t="s">
        <v>514</v>
      </c>
      <c r="C306" t="s">
        <v>566</v>
      </c>
      <c r="D306">
        <v>4</v>
      </c>
      <c r="E306">
        <v>340</v>
      </c>
      <c r="F306">
        <v>10</v>
      </c>
      <c r="G306" t="s">
        <v>581</v>
      </c>
      <c r="H306">
        <v>1360</v>
      </c>
    </row>
    <row r="307" spans="1:8" x14ac:dyDescent="0.25">
      <c r="A307" t="s">
        <v>318</v>
      </c>
      <c r="B307" t="s">
        <v>512</v>
      </c>
      <c r="C307" t="s">
        <v>566</v>
      </c>
      <c r="D307">
        <v>19</v>
      </c>
      <c r="E307">
        <v>295</v>
      </c>
      <c r="F307">
        <v>15</v>
      </c>
      <c r="G307" t="s">
        <v>581</v>
      </c>
      <c r="H307">
        <v>5605</v>
      </c>
    </row>
    <row r="308" spans="1:8" x14ac:dyDescent="0.25">
      <c r="A308" t="s">
        <v>319</v>
      </c>
      <c r="B308" t="s">
        <v>513</v>
      </c>
      <c r="C308" t="s">
        <v>570</v>
      </c>
      <c r="D308">
        <v>12</v>
      </c>
      <c r="E308">
        <v>10</v>
      </c>
      <c r="F308">
        <v>0</v>
      </c>
      <c r="G308" t="s">
        <v>578</v>
      </c>
      <c r="H308">
        <v>120</v>
      </c>
    </row>
    <row r="309" spans="1:8" x14ac:dyDescent="0.25">
      <c r="A309" t="s">
        <v>320</v>
      </c>
      <c r="B309" t="s">
        <v>513</v>
      </c>
      <c r="C309" t="s">
        <v>567</v>
      </c>
      <c r="D309">
        <v>4</v>
      </c>
      <c r="E309">
        <v>1011</v>
      </c>
      <c r="F309">
        <v>15</v>
      </c>
      <c r="G309" t="s">
        <v>580</v>
      </c>
      <c r="H309">
        <v>4044</v>
      </c>
    </row>
    <row r="310" spans="1:8" x14ac:dyDescent="0.25">
      <c r="A310" t="s">
        <v>321</v>
      </c>
      <c r="B310" t="s">
        <v>513</v>
      </c>
      <c r="C310" t="s">
        <v>572</v>
      </c>
      <c r="D310">
        <v>16</v>
      </c>
      <c r="E310">
        <v>82</v>
      </c>
      <c r="F310">
        <v>0</v>
      </c>
      <c r="G310" t="s">
        <v>580</v>
      </c>
      <c r="H310">
        <v>1312</v>
      </c>
    </row>
    <row r="311" spans="1:8" x14ac:dyDescent="0.25">
      <c r="A311" t="s">
        <v>322</v>
      </c>
      <c r="B311" t="s">
        <v>512</v>
      </c>
      <c r="C311" t="s">
        <v>571</v>
      </c>
      <c r="D311">
        <v>16</v>
      </c>
      <c r="E311">
        <v>202</v>
      </c>
      <c r="F311">
        <v>15</v>
      </c>
      <c r="G311" t="s">
        <v>580</v>
      </c>
      <c r="H311">
        <v>3232</v>
      </c>
    </row>
    <row r="312" spans="1:8" x14ac:dyDescent="0.25">
      <c r="A312" t="s">
        <v>323</v>
      </c>
      <c r="B312" t="s">
        <v>513</v>
      </c>
      <c r="C312" t="s">
        <v>572</v>
      </c>
      <c r="D312">
        <v>14</v>
      </c>
      <c r="E312">
        <v>266</v>
      </c>
      <c r="F312">
        <v>0</v>
      </c>
      <c r="G312" t="s">
        <v>579</v>
      </c>
      <c r="H312">
        <v>3724</v>
      </c>
    </row>
    <row r="313" spans="1:8" x14ac:dyDescent="0.25">
      <c r="A313" t="s">
        <v>324</v>
      </c>
      <c r="B313" t="s">
        <v>513</v>
      </c>
      <c r="C313" t="s">
        <v>566</v>
      </c>
      <c r="D313">
        <v>14</v>
      </c>
      <c r="E313">
        <v>225</v>
      </c>
      <c r="F313">
        <v>15</v>
      </c>
      <c r="G313" t="s">
        <v>579</v>
      </c>
      <c r="H313">
        <v>3150</v>
      </c>
    </row>
    <row r="314" spans="1:8" x14ac:dyDescent="0.25">
      <c r="A314" t="s">
        <v>325</v>
      </c>
      <c r="B314" t="s">
        <v>511</v>
      </c>
      <c r="C314" t="s">
        <v>572</v>
      </c>
      <c r="D314">
        <v>9</v>
      </c>
      <c r="E314">
        <v>263</v>
      </c>
      <c r="F314">
        <v>15</v>
      </c>
      <c r="G314" t="s">
        <v>579</v>
      </c>
      <c r="H314">
        <v>2367</v>
      </c>
    </row>
    <row r="315" spans="1:8" x14ac:dyDescent="0.25">
      <c r="A315" t="s">
        <v>326</v>
      </c>
      <c r="B315" t="s">
        <v>513</v>
      </c>
      <c r="C315" t="s">
        <v>572</v>
      </c>
      <c r="D315">
        <v>6</v>
      </c>
      <c r="E315">
        <v>93</v>
      </c>
      <c r="F315">
        <v>5</v>
      </c>
      <c r="G315" t="s">
        <v>578</v>
      </c>
      <c r="H315">
        <v>558</v>
      </c>
    </row>
    <row r="316" spans="1:8" x14ac:dyDescent="0.25">
      <c r="A316" t="s">
        <v>327</v>
      </c>
      <c r="B316" t="s">
        <v>511</v>
      </c>
      <c r="C316" t="s">
        <v>571</v>
      </c>
      <c r="D316">
        <v>3</v>
      </c>
      <c r="E316">
        <v>292</v>
      </c>
      <c r="F316">
        <v>10</v>
      </c>
      <c r="G316" t="s">
        <v>580</v>
      </c>
      <c r="H316">
        <v>876</v>
      </c>
    </row>
    <row r="317" spans="1:8" x14ac:dyDescent="0.25">
      <c r="A317" t="s">
        <v>328</v>
      </c>
      <c r="B317" t="s">
        <v>513</v>
      </c>
      <c r="C317" t="s">
        <v>565</v>
      </c>
      <c r="D317">
        <v>11</v>
      </c>
      <c r="E317">
        <v>9</v>
      </c>
      <c r="F317">
        <v>15</v>
      </c>
      <c r="G317" t="s">
        <v>579</v>
      </c>
      <c r="H317">
        <v>99</v>
      </c>
    </row>
    <row r="318" spans="1:8" x14ac:dyDescent="0.25">
      <c r="A318" t="s">
        <v>329</v>
      </c>
      <c r="B318" t="s">
        <v>512</v>
      </c>
      <c r="C318" t="s">
        <v>567</v>
      </c>
      <c r="D318">
        <v>1</v>
      </c>
      <c r="E318">
        <v>1234</v>
      </c>
      <c r="F318">
        <v>10</v>
      </c>
      <c r="G318" t="s">
        <v>579</v>
      </c>
      <c r="H318">
        <v>1234</v>
      </c>
    </row>
    <row r="319" spans="1:8" x14ac:dyDescent="0.25">
      <c r="A319" t="s">
        <v>330</v>
      </c>
      <c r="B319" t="s">
        <v>513</v>
      </c>
      <c r="C319" t="s">
        <v>566</v>
      </c>
      <c r="D319">
        <v>4</v>
      </c>
      <c r="E319">
        <v>337</v>
      </c>
      <c r="F319">
        <v>5</v>
      </c>
      <c r="G319" t="s">
        <v>581</v>
      </c>
      <c r="H319">
        <v>1348</v>
      </c>
    </row>
    <row r="320" spans="1:8" x14ac:dyDescent="0.25">
      <c r="A320" t="s">
        <v>331</v>
      </c>
      <c r="B320" t="s">
        <v>513</v>
      </c>
      <c r="C320" t="s">
        <v>565</v>
      </c>
      <c r="D320">
        <v>6</v>
      </c>
      <c r="E320">
        <v>2</v>
      </c>
      <c r="F320">
        <v>10</v>
      </c>
      <c r="G320" t="s">
        <v>578</v>
      </c>
      <c r="H320">
        <v>12</v>
      </c>
    </row>
    <row r="321" spans="1:8" x14ac:dyDescent="0.25">
      <c r="A321" t="s">
        <v>332</v>
      </c>
      <c r="B321" t="s">
        <v>512</v>
      </c>
      <c r="C321" t="s">
        <v>573</v>
      </c>
      <c r="D321">
        <v>4</v>
      </c>
      <c r="E321">
        <v>226</v>
      </c>
      <c r="F321">
        <v>15</v>
      </c>
      <c r="G321" t="s">
        <v>580</v>
      </c>
      <c r="H321">
        <v>904</v>
      </c>
    </row>
    <row r="322" spans="1:8" x14ac:dyDescent="0.25">
      <c r="A322" t="s">
        <v>333</v>
      </c>
      <c r="B322" t="s">
        <v>513</v>
      </c>
      <c r="C322" t="s">
        <v>574</v>
      </c>
      <c r="D322">
        <v>18</v>
      </c>
      <c r="E322">
        <v>114</v>
      </c>
      <c r="F322">
        <v>15</v>
      </c>
      <c r="G322" t="s">
        <v>580</v>
      </c>
      <c r="H322">
        <v>2052</v>
      </c>
    </row>
    <row r="323" spans="1:8" x14ac:dyDescent="0.25">
      <c r="A323" t="s">
        <v>334</v>
      </c>
      <c r="B323" t="s">
        <v>514</v>
      </c>
      <c r="C323" t="s">
        <v>568</v>
      </c>
      <c r="D323">
        <v>1</v>
      </c>
      <c r="E323">
        <v>105</v>
      </c>
      <c r="F323">
        <v>15</v>
      </c>
      <c r="G323" t="s">
        <v>581</v>
      </c>
      <c r="H323">
        <v>105</v>
      </c>
    </row>
    <row r="324" spans="1:8" x14ac:dyDescent="0.25">
      <c r="A324" t="s">
        <v>335</v>
      </c>
      <c r="B324" t="s">
        <v>512</v>
      </c>
      <c r="C324" t="s">
        <v>570</v>
      </c>
      <c r="D324">
        <v>13</v>
      </c>
      <c r="E324">
        <v>13</v>
      </c>
      <c r="F324">
        <v>10</v>
      </c>
      <c r="G324" t="s">
        <v>578</v>
      </c>
      <c r="H324">
        <v>169</v>
      </c>
    </row>
    <row r="325" spans="1:8" x14ac:dyDescent="0.25">
      <c r="A325" t="s">
        <v>336</v>
      </c>
      <c r="B325" t="s">
        <v>514</v>
      </c>
      <c r="C325" t="s">
        <v>573</v>
      </c>
      <c r="D325">
        <v>18</v>
      </c>
      <c r="E325">
        <v>301</v>
      </c>
      <c r="F325">
        <v>15</v>
      </c>
      <c r="G325" t="s">
        <v>580</v>
      </c>
      <c r="H325">
        <v>5418</v>
      </c>
    </row>
    <row r="326" spans="1:8" x14ac:dyDescent="0.25">
      <c r="A326" t="s">
        <v>337</v>
      </c>
      <c r="B326" t="s">
        <v>514</v>
      </c>
      <c r="C326" t="s">
        <v>570</v>
      </c>
      <c r="D326">
        <v>15</v>
      </c>
      <c r="E326">
        <v>13</v>
      </c>
      <c r="F326">
        <v>0</v>
      </c>
      <c r="G326" t="s">
        <v>579</v>
      </c>
      <c r="H326">
        <v>195</v>
      </c>
    </row>
    <row r="327" spans="1:8" x14ac:dyDescent="0.25">
      <c r="A327" t="s">
        <v>338</v>
      </c>
      <c r="B327" t="s">
        <v>512</v>
      </c>
      <c r="C327" t="s">
        <v>565</v>
      </c>
      <c r="D327">
        <v>8</v>
      </c>
      <c r="E327">
        <v>10</v>
      </c>
      <c r="F327">
        <v>0</v>
      </c>
      <c r="G327" t="s">
        <v>580</v>
      </c>
      <c r="H327">
        <v>80</v>
      </c>
    </row>
    <row r="328" spans="1:8" x14ac:dyDescent="0.25">
      <c r="A328" t="s">
        <v>339</v>
      </c>
      <c r="B328" t="s">
        <v>513</v>
      </c>
      <c r="C328" t="s">
        <v>566</v>
      </c>
      <c r="D328">
        <v>14</v>
      </c>
      <c r="E328">
        <v>178</v>
      </c>
      <c r="F328">
        <v>5</v>
      </c>
      <c r="G328" t="s">
        <v>579</v>
      </c>
      <c r="H328">
        <v>2492</v>
      </c>
    </row>
    <row r="329" spans="1:8" x14ac:dyDescent="0.25">
      <c r="A329" t="s">
        <v>340</v>
      </c>
      <c r="B329" t="s">
        <v>513</v>
      </c>
      <c r="C329" t="s">
        <v>569</v>
      </c>
      <c r="D329">
        <v>3</v>
      </c>
      <c r="E329">
        <v>421</v>
      </c>
      <c r="F329">
        <v>10</v>
      </c>
      <c r="G329" t="s">
        <v>580</v>
      </c>
      <c r="H329">
        <v>1263</v>
      </c>
    </row>
    <row r="330" spans="1:8" x14ac:dyDescent="0.25">
      <c r="A330" t="s">
        <v>341</v>
      </c>
      <c r="B330" t="s">
        <v>514</v>
      </c>
      <c r="C330" t="s">
        <v>565</v>
      </c>
      <c r="D330">
        <v>3</v>
      </c>
      <c r="E330">
        <v>9</v>
      </c>
      <c r="F330">
        <v>10</v>
      </c>
      <c r="G330" t="s">
        <v>579</v>
      </c>
      <c r="H330">
        <v>27</v>
      </c>
    </row>
    <row r="331" spans="1:8" x14ac:dyDescent="0.25">
      <c r="A331" t="s">
        <v>342</v>
      </c>
      <c r="B331" t="s">
        <v>511</v>
      </c>
      <c r="C331" t="s">
        <v>573</v>
      </c>
      <c r="D331">
        <v>18</v>
      </c>
      <c r="E331">
        <v>308</v>
      </c>
      <c r="F331">
        <v>10</v>
      </c>
      <c r="G331" t="s">
        <v>581</v>
      </c>
      <c r="H331">
        <v>5544</v>
      </c>
    </row>
    <row r="332" spans="1:8" x14ac:dyDescent="0.25">
      <c r="A332" t="s">
        <v>343</v>
      </c>
      <c r="B332" t="s">
        <v>512</v>
      </c>
      <c r="C332" t="s">
        <v>566</v>
      </c>
      <c r="D332">
        <v>3</v>
      </c>
      <c r="E332">
        <v>103</v>
      </c>
      <c r="F332">
        <v>10</v>
      </c>
      <c r="G332" t="s">
        <v>578</v>
      </c>
      <c r="H332">
        <v>309</v>
      </c>
    </row>
    <row r="333" spans="1:8" x14ac:dyDescent="0.25">
      <c r="A333" t="s">
        <v>344</v>
      </c>
      <c r="B333" t="s">
        <v>512</v>
      </c>
      <c r="C333" t="s">
        <v>568</v>
      </c>
      <c r="D333">
        <v>11</v>
      </c>
      <c r="E333">
        <v>192</v>
      </c>
      <c r="F333">
        <v>10</v>
      </c>
      <c r="G333" t="s">
        <v>580</v>
      </c>
      <c r="H333">
        <v>2112</v>
      </c>
    </row>
    <row r="334" spans="1:8" x14ac:dyDescent="0.25">
      <c r="A334" t="s">
        <v>345</v>
      </c>
      <c r="B334" t="s">
        <v>514</v>
      </c>
      <c r="C334" t="s">
        <v>571</v>
      </c>
      <c r="D334">
        <v>19</v>
      </c>
      <c r="E334">
        <v>284</v>
      </c>
      <c r="F334">
        <v>5</v>
      </c>
      <c r="G334" t="s">
        <v>581</v>
      </c>
      <c r="H334">
        <v>5396</v>
      </c>
    </row>
    <row r="335" spans="1:8" x14ac:dyDescent="0.25">
      <c r="A335" t="s">
        <v>346</v>
      </c>
      <c r="B335" t="s">
        <v>513</v>
      </c>
      <c r="C335" t="s">
        <v>569</v>
      </c>
      <c r="D335">
        <v>18</v>
      </c>
      <c r="E335">
        <v>592</v>
      </c>
      <c r="F335">
        <v>0</v>
      </c>
      <c r="G335" t="s">
        <v>579</v>
      </c>
      <c r="H335">
        <v>10656</v>
      </c>
    </row>
    <row r="336" spans="1:8" x14ac:dyDescent="0.25">
      <c r="A336" t="s">
        <v>347</v>
      </c>
      <c r="B336" t="s">
        <v>513</v>
      </c>
      <c r="C336" t="s">
        <v>567</v>
      </c>
      <c r="D336">
        <v>10</v>
      </c>
      <c r="E336">
        <v>1197</v>
      </c>
      <c r="F336">
        <v>5</v>
      </c>
      <c r="G336" t="s">
        <v>579</v>
      </c>
      <c r="H336">
        <v>11970</v>
      </c>
    </row>
    <row r="337" spans="1:8" x14ac:dyDescent="0.25">
      <c r="A337" t="s">
        <v>348</v>
      </c>
      <c r="B337" t="s">
        <v>514</v>
      </c>
      <c r="C337" t="s">
        <v>573</v>
      </c>
      <c r="D337">
        <v>11</v>
      </c>
      <c r="E337">
        <v>223</v>
      </c>
      <c r="F337">
        <v>5</v>
      </c>
      <c r="G337" t="s">
        <v>578</v>
      </c>
      <c r="H337">
        <v>2453</v>
      </c>
    </row>
    <row r="338" spans="1:8" x14ac:dyDescent="0.25">
      <c r="A338" t="s">
        <v>349</v>
      </c>
      <c r="B338" t="s">
        <v>511</v>
      </c>
      <c r="C338" t="s">
        <v>568</v>
      </c>
      <c r="D338">
        <v>20</v>
      </c>
      <c r="E338">
        <v>483</v>
      </c>
      <c r="F338">
        <v>5</v>
      </c>
      <c r="G338" t="s">
        <v>580</v>
      </c>
      <c r="H338">
        <v>9660</v>
      </c>
    </row>
    <row r="339" spans="1:8" x14ac:dyDescent="0.25">
      <c r="A339" t="s">
        <v>350</v>
      </c>
      <c r="B339" t="s">
        <v>513</v>
      </c>
      <c r="C339" t="s">
        <v>568</v>
      </c>
      <c r="D339">
        <v>6</v>
      </c>
      <c r="E339">
        <v>125</v>
      </c>
      <c r="F339">
        <v>10</v>
      </c>
      <c r="G339" t="s">
        <v>578</v>
      </c>
      <c r="H339">
        <v>750</v>
      </c>
    </row>
    <row r="340" spans="1:8" x14ac:dyDescent="0.25">
      <c r="A340" t="s">
        <v>351</v>
      </c>
      <c r="B340" t="s">
        <v>514</v>
      </c>
      <c r="C340" t="s">
        <v>567</v>
      </c>
      <c r="D340">
        <v>11</v>
      </c>
      <c r="E340">
        <v>1049</v>
      </c>
      <c r="F340">
        <v>0</v>
      </c>
      <c r="G340" t="s">
        <v>579</v>
      </c>
      <c r="H340">
        <v>11539</v>
      </c>
    </row>
    <row r="341" spans="1:8" x14ac:dyDescent="0.25">
      <c r="A341" t="s">
        <v>352</v>
      </c>
      <c r="B341" t="s">
        <v>511</v>
      </c>
      <c r="C341" t="s">
        <v>568</v>
      </c>
      <c r="D341">
        <v>6</v>
      </c>
      <c r="E341">
        <v>271</v>
      </c>
      <c r="F341">
        <v>5</v>
      </c>
      <c r="G341" t="s">
        <v>579</v>
      </c>
      <c r="H341">
        <v>1626</v>
      </c>
    </row>
    <row r="342" spans="1:8" x14ac:dyDescent="0.25">
      <c r="A342" t="s">
        <v>353</v>
      </c>
      <c r="B342" t="s">
        <v>512</v>
      </c>
      <c r="C342" t="s">
        <v>574</v>
      </c>
      <c r="D342">
        <v>1</v>
      </c>
      <c r="E342">
        <v>108</v>
      </c>
      <c r="F342">
        <v>10</v>
      </c>
      <c r="G342" t="s">
        <v>580</v>
      </c>
      <c r="H342">
        <v>108</v>
      </c>
    </row>
    <row r="343" spans="1:8" x14ac:dyDescent="0.25">
      <c r="A343" t="s">
        <v>354</v>
      </c>
      <c r="B343" t="s">
        <v>513</v>
      </c>
      <c r="C343" t="s">
        <v>571</v>
      </c>
      <c r="D343">
        <v>13</v>
      </c>
      <c r="E343">
        <v>140</v>
      </c>
      <c r="F343">
        <v>5</v>
      </c>
      <c r="G343" t="s">
        <v>578</v>
      </c>
      <c r="H343">
        <v>1820</v>
      </c>
    </row>
    <row r="344" spans="1:8" x14ac:dyDescent="0.25">
      <c r="A344" t="s">
        <v>355</v>
      </c>
      <c r="B344" t="s">
        <v>511</v>
      </c>
      <c r="C344" t="s">
        <v>569</v>
      </c>
      <c r="D344">
        <v>16</v>
      </c>
      <c r="E344">
        <v>575</v>
      </c>
      <c r="F344">
        <v>10</v>
      </c>
      <c r="G344" t="s">
        <v>579</v>
      </c>
      <c r="H344">
        <v>9200</v>
      </c>
    </row>
    <row r="345" spans="1:8" x14ac:dyDescent="0.25">
      <c r="A345" t="s">
        <v>356</v>
      </c>
      <c r="B345" t="s">
        <v>512</v>
      </c>
      <c r="C345" t="s">
        <v>567</v>
      </c>
      <c r="D345">
        <v>16</v>
      </c>
      <c r="E345">
        <v>889</v>
      </c>
      <c r="F345">
        <v>10</v>
      </c>
      <c r="G345" t="s">
        <v>580</v>
      </c>
      <c r="H345">
        <v>14224</v>
      </c>
    </row>
    <row r="346" spans="1:8" x14ac:dyDescent="0.25">
      <c r="A346" t="s">
        <v>357</v>
      </c>
      <c r="B346" t="s">
        <v>511</v>
      </c>
      <c r="C346" t="s">
        <v>566</v>
      </c>
      <c r="D346">
        <v>2</v>
      </c>
      <c r="E346">
        <v>450</v>
      </c>
      <c r="F346">
        <v>5</v>
      </c>
      <c r="G346" t="s">
        <v>578</v>
      </c>
      <c r="H346">
        <v>900</v>
      </c>
    </row>
    <row r="347" spans="1:8" x14ac:dyDescent="0.25">
      <c r="A347" t="s">
        <v>358</v>
      </c>
      <c r="B347" t="s">
        <v>511</v>
      </c>
      <c r="C347" t="s">
        <v>572</v>
      </c>
      <c r="D347">
        <v>17</v>
      </c>
      <c r="E347">
        <v>71</v>
      </c>
      <c r="F347">
        <v>15</v>
      </c>
      <c r="G347" t="s">
        <v>579</v>
      </c>
      <c r="H347">
        <v>1207</v>
      </c>
    </row>
    <row r="348" spans="1:8" x14ac:dyDescent="0.25">
      <c r="A348" t="s">
        <v>359</v>
      </c>
      <c r="B348" t="s">
        <v>512</v>
      </c>
      <c r="C348" t="s">
        <v>566</v>
      </c>
      <c r="D348">
        <v>9</v>
      </c>
      <c r="E348">
        <v>422</v>
      </c>
      <c r="F348">
        <v>15</v>
      </c>
      <c r="G348" t="s">
        <v>578</v>
      </c>
      <c r="H348">
        <v>3798</v>
      </c>
    </row>
    <row r="349" spans="1:8" x14ac:dyDescent="0.25">
      <c r="A349" t="s">
        <v>360</v>
      </c>
      <c r="B349" t="s">
        <v>513</v>
      </c>
      <c r="C349" t="s">
        <v>566</v>
      </c>
      <c r="D349">
        <v>6</v>
      </c>
      <c r="E349">
        <v>104</v>
      </c>
      <c r="F349">
        <v>15</v>
      </c>
      <c r="G349" t="s">
        <v>580</v>
      </c>
      <c r="H349">
        <v>624</v>
      </c>
    </row>
    <row r="350" spans="1:8" x14ac:dyDescent="0.25">
      <c r="A350" t="s">
        <v>361</v>
      </c>
      <c r="B350" t="s">
        <v>511</v>
      </c>
      <c r="C350" t="s">
        <v>565</v>
      </c>
      <c r="D350">
        <v>5</v>
      </c>
      <c r="E350">
        <v>7</v>
      </c>
      <c r="F350">
        <v>15</v>
      </c>
      <c r="G350" t="s">
        <v>580</v>
      </c>
      <c r="H350">
        <v>35</v>
      </c>
    </row>
    <row r="351" spans="1:8" x14ac:dyDescent="0.25">
      <c r="A351" t="s">
        <v>362</v>
      </c>
      <c r="B351" t="s">
        <v>514</v>
      </c>
      <c r="C351" t="s">
        <v>568</v>
      </c>
      <c r="D351">
        <v>18</v>
      </c>
      <c r="E351">
        <v>500</v>
      </c>
      <c r="F351">
        <v>5</v>
      </c>
      <c r="G351" t="s">
        <v>580</v>
      </c>
      <c r="H351">
        <v>9000</v>
      </c>
    </row>
    <row r="352" spans="1:8" x14ac:dyDescent="0.25">
      <c r="A352" t="s">
        <v>363</v>
      </c>
      <c r="B352" t="s">
        <v>511</v>
      </c>
      <c r="C352" t="s">
        <v>568</v>
      </c>
      <c r="D352">
        <v>16</v>
      </c>
      <c r="E352">
        <v>105</v>
      </c>
      <c r="F352">
        <v>15</v>
      </c>
      <c r="G352" t="s">
        <v>578</v>
      </c>
      <c r="H352">
        <v>1680</v>
      </c>
    </row>
    <row r="353" spans="1:8" x14ac:dyDescent="0.25">
      <c r="A353" t="s">
        <v>364</v>
      </c>
      <c r="B353" t="s">
        <v>512</v>
      </c>
      <c r="C353" t="s">
        <v>566</v>
      </c>
      <c r="D353">
        <v>6</v>
      </c>
      <c r="E353">
        <v>136</v>
      </c>
      <c r="F353">
        <v>15</v>
      </c>
      <c r="G353" t="s">
        <v>579</v>
      </c>
      <c r="H353">
        <v>816</v>
      </c>
    </row>
    <row r="354" spans="1:8" x14ac:dyDescent="0.25">
      <c r="A354" t="s">
        <v>365</v>
      </c>
      <c r="B354" t="s">
        <v>514</v>
      </c>
      <c r="C354" t="s">
        <v>570</v>
      </c>
      <c r="D354">
        <v>20</v>
      </c>
      <c r="E354">
        <v>4</v>
      </c>
      <c r="F354">
        <v>15</v>
      </c>
      <c r="G354" t="s">
        <v>579</v>
      </c>
      <c r="H354">
        <v>80</v>
      </c>
    </row>
    <row r="355" spans="1:8" x14ac:dyDescent="0.25">
      <c r="A355" t="s">
        <v>366</v>
      </c>
      <c r="B355" t="s">
        <v>511</v>
      </c>
      <c r="C355" t="s">
        <v>571</v>
      </c>
      <c r="D355">
        <v>8</v>
      </c>
      <c r="E355">
        <v>102</v>
      </c>
      <c r="F355">
        <v>15</v>
      </c>
      <c r="G355" t="s">
        <v>578</v>
      </c>
      <c r="H355">
        <v>816</v>
      </c>
    </row>
    <row r="356" spans="1:8" x14ac:dyDescent="0.25">
      <c r="A356" t="s">
        <v>367</v>
      </c>
      <c r="B356" t="s">
        <v>511</v>
      </c>
      <c r="C356" t="s">
        <v>565</v>
      </c>
      <c r="D356">
        <v>6</v>
      </c>
      <c r="E356">
        <v>9</v>
      </c>
      <c r="F356">
        <v>0</v>
      </c>
      <c r="G356" t="s">
        <v>581</v>
      </c>
      <c r="H356">
        <v>54</v>
      </c>
    </row>
    <row r="357" spans="1:8" x14ac:dyDescent="0.25">
      <c r="A357" t="s">
        <v>368</v>
      </c>
      <c r="B357" t="s">
        <v>512</v>
      </c>
      <c r="C357" t="s">
        <v>567</v>
      </c>
      <c r="D357">
        <v>5</v>
      </c>
      <c r="E357">
        <v>1204</v>
      </c>
      <c r="F357">
        <v>5</v>
      </c>
      <c r="G357" t="s">
        <v>579</v>
      </c>
      <c r="H357">
        <v>6020</v>
      </c>
    </row>
    <row r="358" spans="1:8" x14ac:dyDescent="0.25">
      <c r="A358" t="s">
        <v>369</v>
      </c>
      <c r="B358" t="s">
        <v>512</v>
      </c>
      <c r="C358" t="s">
        <v>574</v>
      </c>
      <c r="D358">
        <v>20</v>
      </c>
      <c r="E358">
        <v>26</v>
      </c>
      <c r="F358">
        <v>5</v>
      </c>
      <c r="G358" t="s">
        <v>579</v>
      </c>
      <c r="H358">
        <v>520</v>
      </c>
    </row>
    <row r="359" spans="1:8" x14ac:dyDescent="0.25">
      <c r="A359" t="s">
        <v>370</v>
      </c>
      <c r="B359" t="s">
        <v>514</v>
      </c>
      <c r="C359" t="s">
        <v>573</v>
      </c>
      <c r="D359">
        <v>5</v>
      </c>
      <c r="E359">
        <v>354</v>
      </c>
      <c r="F359">
        <v>5</v>
      </c>
      <c r="G359" t="s">
        <v>578</v>
      </c>
      <c r="H359">
        <v>1770</v>
      </c>
    </row>
    <row r="360" spans="1:8" x14ac:dyDescent="0.25">
      <c r="A360" t="s">
        <v>371</v>
      </c>
      <c r="B360" t="s">
        <v>511</v>
      </c>
      <c r="C360" t="s">
        <v>571</v>
      </c>
      <c r="D360">
        <v>7</v>
      </c>
      <c r="E360">
        <v>206</v>
      </c>
      <c r="F360">
        <v>0</v>
      </c>
      <c r="G360" t="s">
        <v>580</v>
      </c>
      <c r="H360">
        <v>1442</v>
      </c>
    </row>
    <row r="361" spans="1:8" x14ac:dyDescent="0.25">
      <c r="A361" t="s">
        <v>372</v>
      </c>
      <c r="B361" t="s">
        <v>512</v>
      </c>
      <c r="C361" t="s">
        <v>572</v>
      </c>
      <c r="D361">
        <v>15</v>
      </c>
      <c r="E361">
        <v>248</v>
      </c>
      <c r="F361">
        <v>5</v>
      </c>
      <c r="G361" t="s">
        <v>579</v>
      </c>
      <c r="H361">
        <v>3720</v>
      </c>
    </row>
    <row r="362" spans="1:8" x14ac:dyDescent="0.25">
      <c r="A362" t="s">
        <v>373</v>
      </c>
      <c r="B362" t="s">
        <v>513</v>
      </c>
      <c r="C362" t="s">
        <v>570</v>
      </c>
      <c r="D362">
        <v>3</v>
      </c>
      <c r="E362">
        <v>7</v>
      </c>
      <c r="F362">
        <v>10</v>
      </c>
      <c r="G362" t="s">
        <v>580</v>
      </c>
      <c r="H362">
        <v>21</v>
      </c>
    </row>
    <row r="363" spans="1:8" x14ac:dyDescent="0.25">
      <c r="A363" t="s">
        <v>374</v>
      </c>
      <c r="B363" t="s">
        <v>511</v>
      </c>
      <c r="C363" t="s">
        <v>570</v>
      </c>
      <c r="D363">
        <v>1</v>
      </c>
      <c r="E363">
        <v>6</v>
      </c>
      <c r="F363">
        <v>15</v>
      </c>
      <c r="G363" t="s">
        <v>579</v>
      </c>
      <c r="H363">
        <v>6</v>
      </c>
    </row>
    <row r="364" spans="1:8" x14ac:dyDescent="0.25">
      <c r="A364" t="s">
        <v>375</v>
      </c>
      <c r="B364" t="s">
        <v>513</v>
      </c>
      <c r="C364" t="s">
        <v>568</v>
      </c>
      <c r="D364">
        <v>12</v>
      </c>
      <c r="E364">
        <v>150</v>
      </c>
      <c r="F364">
        <v>15</v>
      </c>
      <c r="G364" t="s">
        <v>579</v>
      </c>
      <c r="H364">
        <v>1800</v>
      </c>
    </row>
    <row r="365" spans="1:8" x14ac:dyDescent="0.25">
      <c r="A365" t="s">
        <v>376</v>
      </c>
      <c r="B365" t="s">
        <v>512</v>
      </c>
      <c r="C365" t="s">
        <v>572</v>
      </c>
      <c r="D365">
        <v>3</v>
      </c>
      <c r="E365">
        <v>182</v>
      </c>
      <c r="F365">
        <v>5</v>
      </c>
      <c r="G365" t="s">
        <v>581</v>
      </c>
      <c r="H365">
        <v>546</v>
      </c>
    </row>
    <row r="366" spans="1:8" x14ac:dyDescent="0.25">
      <c r="A366" t="s">
        <v>377</v>
      </c>
      <c r="B366" t="s">
        <v>511</v>
      </c>
      <c r="C366" t="s">
        <v>572</v>
      </c>
      <c r="D366">
        <v>1</v>
      </c>
      <c r="E366">
        <v>172</v>
      </c>
      <c r="F366">
        <v>10</v>
      </c>
      <c r="G366" t="s">
        <v>581</v>
      </c>
      <c r="H366">
        <v>172</v>
      </c>
    </row>
    <row r="367" spans="1:8" x14ac:dyDescent="0.25">
      <c r="A367" t="s">
        <v>378</v>
      </c>
      <c r="B367" t="s">
        <v>511</v>
      </c>
      <c r="C367" t="s">
        <v>572</v>
      </c>
      <c r="D367">
        <v>20</v>
      </c>
      <c r="E367">
        <v>167</v>
      </c>
      <c r="F367">
        <v>0</v>
      </c>
      <c r="G367" t="s">
        <v>581</v>
      </c>
      <c r="H367">
        <v>3340</v>
      </c>
    </row>
    <row r="368" spans="1:8" x14ac:dyDescent="0.25">
      <c r="A368" t="s">
        <v>379</v>
      </c>
      <c r="B368" t="s">
        <v>514</v>
      </c>
      <c r="C368" t="s">
        <v>569</v>
      </c>
      <c r="D368">
        <v>2</v>
      </c>
      <c r="E368">
        <v>704</v>
      </c>
      <c r="F368">
        <v>0</v>
      </c>
      <c r="G368" t="s">
        <v>580</v>
      </c>
      <c r="H368">
        <v>1408</v>
      </c>
    </row>
    <row r="369" spans="1:8" x14ac:dyDescent="0.25">
      <c r="A369" t="s">
        <v>380</v>
      </c>
      <c r="B369" t="s">
        <v>514</v>
      </c>
      <c r="C369" t="s">
        <v>566</v>
      </c>
      <c r="D369">
        <v>6</v>
      </c>
      <c r="E369">
        <v>234</v>
      </c>
      <c r="F369">
        <v>10</v>
      </c>
      <c r="G369" t="s">
        <v>579</v>
      </c>
      <c r="H369">
        <v>1404</v>
      </c>
    </row>
    <row r="370" spans="1:8" x14ac:dyDescent="0.25">
      <c r="A370" t="s">
        <v>381</v>
      </c>
      <c r="B370" t="s">
        <v>512</v>
      </c>
      <c r="C370" t="s">
        <v>566</v>
      </c>
      <c r="D370">
        <v>18</v>
      </c>
      <c r="E370">
        <v>469</v>
      </c>
      <c r="F370">
        <v>15</v>
      </c>
      <c r="G370" t="s">
        <v>578</v>
      </c>
      <c r="H370">
        <v>8442</v>
      </c>
    </row>
    <row r="371" spans="1:8" x14ac:dyDescent="0.25">
      <c r="A371" t="s">
        <v>382</v>
      </c>
      <c r="B371" t="s">
        <v>514</v>
      </c>
      <c r="C371" t="s">
        <v>573</v>
      </c>
      <c r="D371">
        <v>14</v>
      </c>
      <c r="E371">
        <v>345</v>
      </c>
      <c r="F371">
        <v>5</v>
      </c>
      <c r="G371" t="s">
        <v>579</v>
      </c>
      <c r="H371">
        <v>4830</v>
      </c>
    </row>
    <row r="372" spans="1:8" x14ac:dyDescent="0.25">
      <c r="A372" t="s">
        <v>383</v>
      </c>
      <c r="B372" t="s">
        <v>513</v>
      </c>
      <c r="C372" t="s">
        <v>566</v>
      </c>
      <c r="D372">
        <v>10</v>
      </c>
      <c r="E372">
        <v>173</v>
      </c>
      <c r="F372">
        <v>10</v>
      </c>
      <c r="G372" t="s">
        <v>579</v>
      </c>
      <c r="H372">
        <v>1730</v>
      </c>
    </row>
    <row r="373" spans="1:8" x14ac:dyDescent="0.25">
      <c r="A373" t="s">
        <v>384</v>
      </c>
      <c r="B373" t="s">
        <v>511</v>
      </c>
      <c r="C373" t="s">
        <v>567</v>
      </c>
      <c r="D373">
        <v>1</v>
      </c>
      <c r="E373">
        <v>1445</v>
      </c>
      <c r="F373">
        <v>10</v>
      </c>
      <c r="G373" t="s">
        <v>581</v>
      </c>
      <c r="H373">
        <v>1445</v>
      </c>
    </row>
    <row r="374" spans="1:8" x14ac:dyDescent="0.25">
      <c r="A374" t="s">
        <v>385</v>
      </c>
      <c r="B374" t="s">
        <v>512</v>
      </c>
      <c r="C374" t="s">
        <v>566</v>
      </c>
      <c r="D374">
        <v>19</v>
      </c>
      <c r="E374">
        <v>208</v>
      </c>
      <c r="F374">
        <v>0</v>
      </c>
      <c r="G374" t="s">
        <v>581</v>
      </c>
      <c r="H374">
        <v>3952</v>
      </c>
    </row>
    <row r="375" spans="1:8" x14ac:dyDescent="0.25">
      <c r="A375" t="s">
        <v>386</v>
      </c>
      <c r="B375" t="s">
        <v>511</v>
      </c>
      <c r="C375" t="s">
        <v>568</v>
      </c>
      <c r="D375">
        <v>16</v>
      </c>
      <c r="E375">
        <v>278</v>
      </c>
      <c r="F375">
        <v>5</v>
      </c>
      <c r="G375" t="s">
        <v>579</v>
      </c>
      <c r="H375">
        <v>4448</v>
      </c>
    </row>
    <row r="376" spans="1:8" x14ac:dyDescent="0.25">
      <c r="A376" t="s">
        <v>387</v>
      </c>
      <c r="B376" t="s">
        <v>514</v>
      </c>
      <c r="C376" t="s">
        <v>574</v>
      </c>
      <c r="D376">
        <v>19</v>
      </c>
      <c r="E376">
        <v>77</v>
      </c>
      <c r="F376">
        <v>15</v>
      </c>
      <c r="G376" t="s">
        <v>579</v>
      </c>
      <c r="H376">
        <v>1463</v>
      </c>
    </row>
    <row r="377" spans="1:8" x14ac:dyDescent="0.25">
      <c r="A377" t="s">
        <v>388</v>
      </c>
      <c r="B377" t="s">
        <v>512</v>
      </c>
      <c r="C377" t="s">
        <v>571</v>
      </c>
      <c r="D377">
        <v>20</v>
      </c>
      <c r="E377">
        <v>291</v>
      </c>
      <c r="F377">
        <v>10</v>
      </c>
      <c r="G377" t="s">
        <v>580</v>
      </c>
      <c r="H377">
        <v>5820</v>
      </c>
    </row>
    <row r="378" spans="1:8" x14ac:dyDescent="0.25">
      <c r="A378" t="s">
        <v>389</v>
      </c>
      <c r="B378" t="s">
        <v>512</v>
      </c>
      <c r="C378" t="s">
        <v>565</v>
      </c>
      <c r="D378">
        <v>15</v>
      </c>
      <c r="E378">
        <v>7</v>
      </c>
      <c r="F378">
        <v>0</v>
      </c>
      <c r="G378" t="s">
        <v>581</v>
      </c>
      <c r="H378">
        <v>105</v>
      </c>
    </row>
    <row r="379" spans="1:8" x14ac:dyDescent="0.25">
      <c r="A379" t="s">
        <v>390</v>
      </c>
      <c r="B379" t="s">
        <v>513</v>
      </c>
      <c r="C379" t="s">
        <v>572</v>
      </c>
      <c r="D379">
        <v>14</v>
      </c>
      <c r="E379">
        <v>189</v>
      </c>
      <c r="F379">
        <v>5</v>
      </c>
      <c r="G379" t="s">
        <v>579</v>
      </c>
      <c r="H379">
        <v>2646</v>
      </c>
    </row>
    <row r="380" spans="1:8" x14ac:dyDescent="0.25">
      <c r="A380" t="s">
        <v>391</v>
      </c>
      <c r="B380" t="s">
        <v>512</v>
      </c>
      <c r="C380" t="s">
        <v>568</v>
      </c>
      <c r="D380">
        <v>12</v>
      </c>
      <c r="E380">
        <v>225</v>
      </c>
      <c r="F380">
        <v>0</v>
      </c>
      <c r="G380" t="s">
        <v>579</v>
      </c>
      <c r="H380">
        <v>2700</v>
      </c>
    </row>
    <row r="381" spans="1:8" x14ac:dyDescent="0.25">
      <c r="A381" t="s">
        <v>392</v>
      </c>
      <c r="B381" t="s">
        <v>512</v>
      </c>
      <c r="C381" t="s">
        <v>566</v>
      </c>
      <c r="D381">
        <v>14</v>
      </c>
      <c r="E381">
        <v>302</v>
      </c>
      <c r="F381">
        <v>10</v>
      </c>
      <c r="G381" t="s">
        <v>579</v>
      </c>
      <c r="H381">
        <v>4228</v>
      </c>
    </row>
    <row r="382" spans="1:8" x14ac:dyDescent="0.25">
      <c r="A382" t="s">
        <v>393</v>
      </c>
      <c r="B382" t="s">
        <v>511</v>
      </c>
      <c r="C382" t="s">
        <v>569</v>
      </c>
      <c r="D382">
        <v>6</v>
      </c>
      <c r="E382">
        <v>975</v>
      </c>
      <c r="F382">
        <v>15</v>
      </c>
      <c r="G382" t="s">
        <v>578</v>
      </c>
      <c r="H382">
        <v>5850</v>
      </c>
    </row>
    <row r="383" spans="1:8" x14ac:dyDescent="0.25">
      <c r="A383" t="s">
        <v>394</v>
      </c>
      <c r="B383" t="s">
        <v>513</v>
      </c>
      <c r="C383" t="s">
        <v>566</v>
      </c>
      <c r="D383">
        <v>18</v>
      </c>
      <c r="E383">
        <v>259</v>
      </c>
      <c r="F383">
        <v>0</v>
      </c>
      <c r="G383" t="s">
        <v>580</v>
      </c>
      <c r="H383">
        <v>4662</v>
      </c>
    </row>
    <row r="384" spans="1:8" x14ac:dyDescent="0.25">
      <c r="A384" t="s">
        <v>395</v>
      </c>
      <c r="B384" t="s">
        <v>512</v>
      </c>
      <c r="C384" t="s">
        <v>573</v>
      </c>
      <c r="D384">
        <v>14</v>
      </c>
      <c r="E384">
        <v>308</v>
      </c>
      <c r="F384">
        <v>0</v>
      </c>
      <c r="G384" t="s">
        <v>579</v>
      </c>
      <c r="H384">
        <v>4312</v>
      </c>
    </row>
    <row r="385" spans="1:8" x14ac:dyDescent="0.25">
      <c r="A385" t="s">
        <v>396</v>
      </c>
      <c r="B385" t="s">
        <v>512</v>
      </c>
      <c r="C385" t="s">
        <v>569</v>
      </c>
      <c r="D385">
        <v>15</v>
      </c>
      <c r="E385">
        <v>456</v>
      </c>
      <c r="F385">
        <v>0</v>
      </c>
      <c r="G385" t="s">
        <v>581</v>
      </c>
      <c r="H385">
        <v>6840</v>
      </c>
    </row>
    <row r="386" spans="1:8" x14ac:dyDescent="0.25">
      <c r="A386" t="s">
        <v>397</v>
      </c>
      <c r="B386" t="s">
        <v>513</v>
      </c>
      <c r="C386" t="s">
        <v>569</v>
      </c>
      <c r="D386">
        <v>1</v>
      </c>
      <c r="E386">
        <v>911</v>
      </c>
      <c r="F386">
        <v>10</v>
      </c>
      <c r="G386" t="s">
        <v>578</v>
      </c>
      <c r="H386">
        <v>911</v>
      </c>
    </row>
    <row r="387" spans="1:8" x14ac:dyDescent="0.25">
      <c r="A387" t="s">
        <v>398</v>
      </c>
      <c r="B387" t="s">
        <v>512</v>
      </c>
      <c r="C387" t="s">
        <v>566</v>
      </c>
      <c r="D387">
        <v>12</v>
      </c>
      <c r="E387">
        <v>208</v>
      </c>
      <c r="F387">
        <v>5</v>
      </c>
      <c r="G387" t="s">
        <v>579</v>
      </c>
      <c r="H387">
        <v>2496</v>
      </c>
    </row>
    <row r="388" spans="1:8" x14ac:dyDescent="0.25">
      <c r="A388" t="s">
        <v>399</v>
      </c>
      <c r="B388" t="s">
        <v>513</v>
      </c>
      <c r="C388" t="s">
        <v>567</v>
      </c>
      <c r="D388">
        <v>17</v>
      </c>
      <c r="E388">
        <v>929</v>
      </c>
      <c r="F388">
        <v>5</v>
      </c>
      <c r="G388" t="s">
        <v>579</v>
      </c>
      <c r="H388">
        <v>15793</v>
      </c>
    </row>
    <row r="389" spans="1:8" x14ac:dyDescent="0.25">
      <c r="A389" t="s">
        <v>400</v>
      </c>
      <c r="B389" t="s">
        <v>514</v>
      </c>
      <c r="C389" t="s">
        <v>566</v>
      </c>
      <c r="D389">
        <v>2</v>
      </c>
      <c r="E389">
        <v>333</v>
      </c>
      <c r="F389">
        <v>15</v>
      </c>
      <c r="G389" t="s">
        <v>579</v>
      </c>
      <c r="H389">
        <v>666</v>
      </c>
    </row>
    <row r="390" spans="1:8" x14ac:dyDescent="0.25">
      <c r="A390" t="s">
        <v>401</v>
      </c>
      <c r="B390" t="s">
        <v>513</v>
      </c>
      <c r="C390" t="s">
        <v>566</v>
      </c>
      <c r="D390">
        <v>13</v>
      </c>
      <c r="E390">
        <v>336</v>
      </c>
      <c r="F390">
        <v>5</v>
      </c>
      <c r="G390" t="s">
        <v>580</v>
      </c>
      <c r="H390">
        <v>4368</v>
      </c>
    </row>
    <row r="391" spans="1:8" x14ac:dyDescent="0.25">
      <c r="A391" t="s">
        <v>402</v>
      </c>
      <c r="B391" t="s">
        <v>514</v>
      </c>
      <c r="C391" t="s">
        <v>570</v>
      </c>
      <c r="D391">
        <v>2</v>
      </c>
      <c r="E391">
        <v>3</v>
      </c>
      <c r="F391">
        <v>10</v>
      </c>
      <c r="G391" t="s">
        <v>581</v>
      </c>
      <c r="H391">
        <v>6</v>
      </c>
    </row>
    <row r="392" spans="1:8" x14ac:dyDescent="0.25">
      <c r="A392" t="s">
        <v>403</v>
      </c>
      <c r="B392" t="s">
        <v>512</v>
      </c>
      <c r="C392" t="s">
        <v>569</v>
      </c>
      <c r="D392">
        <v>12</v>
      </c>
      <c r="E392">
        <v>969</v>
      </c>
      <c r="F392">
        <v>10</v>
      </c>
      <c r="G392" t="s">
        <v>578</v>
      </c>
      <c r="H392">
        <v>11628</v>
      </c>
    </row>
    <row r="393" spans="1:8" x14ac:dyDescent="0.25">
      <c r="A393" t="s">
        <v>404</v>
      </c>
      <c r="B393" t="s">
        <v>511</v>
      </c>
      <c r="C393" t="s">
        <v>570</v>
      </c>
      <c r="D393">
        <v>14</v>
      </c>
      <c r="E393">
        <v>15</v>
      </c>
      <c r="F393">
        <v>0</v>
      </c>
      <c r="G393" t="s">
        <v>579</v>
      </c>
      <c r="H393">
        <v>210</v>
      </c>
    </row>
    <row r="394" spans="1:8" x14ac:dyDescent="0.25">
      <c r="A394" t="s">
        <v>405</v>
      </c>
      <c r="B394" t="s">
        <v>512</v>
      </c>
      <c r="C394" t="s">
        <v>566</v>
      </c>
      <c r="D394">
        <v>7</v>
      </c>
      <c r="E394">
        <v>382</v>
      </c>
      <c r="F394">
        <v>10</v>
      </c>
      <c r="G394" t="s">
        <v>580</v>
      </c>
      <c r="H394">
        <v>2674</v>
      </c>
    </row>
    <row r="395" spans="1:8" x14ac:dyDescent="0.25">
      <c r="A395" t="s">
        <v>406</v>
      </c>
      <c r="B395" t="s">
        <v>514</v>
      </c>
      <c r="C395" t="s">
        <v>572</v>
      </c>
      <c r="D395">
        <v>15</v>
      </c>
      <c r="E395">
        <v>253</v>
      </c>
      <c r="F395">
        <v>15</v>
      </c>
      <c r="G395" t="s">
        <v>578</v>
      </c>
      <c r="H395">
        <v>3795</v>
      </c>
    </row>
    <row r="396" spans="1:8" x14ac:dyDescent="0.25">
      <c r="A396" t="s">
        <v>407</v>
      </c>
      <c r="B396" t="s">
        <v>513</v>
      </c>
      <c r="C396" t="s">
        <v>569</v>
      </c>
      <c r="D396">
        <v>13</v>
      </c>
      <c r="E396">
        <v>660</v>
      </c>
      <c r="F396">
        <v>0</v>
      </c>
      <c r="G396" t="s">
        <v>581</v>
      </c>
      <c r="H396">
        <v>8580</v>
      </c>
    </row>
    <row r="397" spans="1:8" x14ac:dyDescent="0.25">
      <c r="A397" t="s">
        <v>408</v>
      </c>
      <c r="B397" t="s">
        <v>511</v>
      </c>
      <c r="C397" t="s">
        <v>570</v>
      </c>
      <c r="D397">
        <v>6</v>
      </c>
      <c r="E397">
        <v>11</v>
      </c>
      <c r="F397">
        <v>15</v>
      </c>
      <c r="G397" t="s">
        <v>579</v>
      </c>
      <c r="H397">
        <v>66</v>
      </c>
    </row>
    <row r="398" spans="1:8" x14ac:dyDescent="0.25">
      <c r="A398" t="s">
        <v>409</v>
      </c>
      <c r="B398" t="s">
        <v>513</v>
      </c>
      <c r="C398" t="s">
        <v>572</v>
      </c>
      <c r="D398">
        <v>18</v>
      </c>
      <c r="E398">
        <v>219</v>
      </c>
      <c r="F398">
        <v>10</v>
      </c>
      <c r="G398" t="s">
        <v>580</v>
      </c>
      <c r="H398">
        <v>3942</v>
      </c>
    </row>
    <row r="399" spans="1:8" x14ac:dyDescent="0.25">
      <c r="A399" t="s">
        <v>410</v>
      </c>
      <c r="B399" t="s">
        <v>511</v>
      </c>
      <c r="C399" t="s">
        <v>570</v>
      </c>
      <c r="D399">
        <v>12</v>
      </c>
      <c r="E399">
        <v>2</v>
      </c>
      <c r="F399">
        <v>5</v>
      </c>
      <c r="G399" t="s">
        <v>580</v>
      </c>
      <c r="H399">
        <v>24</v>
      </c>
    </row>
    <row r="400" spans="1:8" x14ac:dyDescent="0.25">
      <c r="A400" t="s">
        <v>411</v>
      </c>
      <c r="B400" t="s">
        <v>514</v>
      </c>
      <c r="C400" t="s">
        <v>565</v>
      </c>
      <c r="D400">
        <v>5</v>
      </c>
      <c r="E400">
        <v>9</v>
      </c>
      <c r="F400">
        <v>5</v>
      </c>
      <c r="G400" t="s">
        <v>578</v>
      </c>
      <c r="H400">
        <v>45</v>
      </c>
    </row>
    <row r="401" spans="1:8" x14ac:dyDescent="0.25">
      <c r="A401" t="s">
        <v>412</v>
      </c>
      <c r="B401" t="s">
        <v>511</v>
      </c>
      <c r="C401" t="s">
        <v>568</v>
      </c>
      <c r="D401">
        <v>18</v>
      </c>
      <c r="E401">
        <v>328</v>
      </c>
      <c r="F401">
        <v>15</v>
      </c>
      <c r="G401" t="s">
        <v>578</v>
      </c>
      <c r="H401">
        <v>5904</v>
      </c>
    </row>
    <row r="402" spans="1:8" x14ac:dyDescent="0.25">
      <c r="A402" t="s">
        <v>413</v>
      </c>
      <c r="B402" t="s">
        <v>511</v>
      </c>
      <c r="C402" t="s">
        <v>568</v>
      </c>
      <c r="D402">
        <v>12</v>
      </c>
      <c r="E402">
        <v>185</v>
      </c>
      <c r="F402">
        <v>0</v>
      </c>
      <c r="G402" t="s">
        <v>578</v>
      </c>
      <c r="H402">
        <v>2220</v>
      </c>
    </row>
    <row r="403" spans="1:8" x14ac:dyDescent="0.25">
      <c r="A403" t="s">
        <v>414</v>
      </c>
      <c r="B403" t="s">
        <v>513</v>
      </c>
      <c r="C403" t="s">
        <v>569</v>
      </c>
      <c r="D403">
        <v>6</v>
      </c>
      <c r="E403">
        <v>804</v>
      </c>
      <c r="F403">
        <v>15</v>
      </c>
      <c r="G403" t="s">
        <v>581</v>
      </c>
      <c r="H403">
        <v>4824</v>
      </c>
    </row>
    <row r="404" spans="1:8" x14ac:dyDescent="0.25">
      <c r="A404" t="s">
        <v>415</v>
      </c>
      <c r="B404" t="s">
        <v>513</v>
      </c>
      <c r="C404" t="s">
        <v>570</v>
      </c>
      <c r="D404">
        <v>20</v>
      </c>
      <c r="E404">
        <v>4</v>
      </c>
      <c r="F404">
        <v>15</v>
      </c>
      <c r="G404" t="s">
        <v>581</v>
      </c>
      <c r="H404">
        <v>80</v>
      </c>
    </row>
    <row r="405" spans="1:8" x14ac:dyDescent="0.25">
      <c r="A405" t="s">
        <v>416</v>
      </c>
      <c r="B405" t="s">
        <v>511</v>
      </c>
      <c r="C405" t="s">
        <v>569</v>
      </c>
      <c r="D405">
        <v>8</v>
      </c>
      <c r="E405">
        <v>954</v>
      </c>
      <c r="F405">
        <v>5</v>
      </c>
      <c r="G405" t="s">
        <v>580</v>
      </c>
      <c r="H405">
        <v>7632</v>
      </c>
    </row>
    <row r="406" spans="1:8" x14ac:dyDescent="0.25">
      <c r="A406" t="s">
        <v>417</v>
      </c>
      <c r="B406" t="s">
        <v>513</v>
      </c>
      <c r="C406" t="s">
        <v>568</v>
      </c>
      <c r="D406">
        <v>8</v>
      </c>
      <c r="E406">
        <v>483</v>
      </c>
      <c r="F406">
        <v>0</v>
      </c>
      <c r="G406" t="s">
        <v>581</v>
      </c>
      <c r="H406">
        <v>3864</v>
      </c>
    </row>
    <row r="407" spans="1:8" x14ac:dyDescent="0.25">
      <c r="A407" t="s">
        <v>418</v>
      </c>
      <c r="B407" t="s">
        <v>514</v>
      </c>
      <c r="C407" t="s">
        <v>565</v>
      </c>
      <c r="D407">
        <v>19</v>
      </c>
      <c r="E407">
        <v>3</v>
      </c>
      <c r="F407">
        <v>0</v>
      </c>
      <c r="G407" t="s">
        <v>578</v>
      </c>
      <c r="H407">
        <v>57</v>
      </c>
    </row>
    <row r="408" spans="1:8" x14ac:dyDescent="0.25">
      <c r="A408" t="s">
        <v>419</v>
      </c>
      <c r="B408" t="s">
        <v>514</v>
      </c>
      <c r="C408" t="s">
        <v>569</v>
      </c>
      <c r="D408">
        <v>8</v>
      </c>
      <c r="E408">
        <v>873</v>
      </c>
      <c r="F408">
        <v>15</v>
      </c>
      <c r="G408" t="s">
        <v>578</v>
      </c>
      <c r="H408">
        <v>6984</v>
      </c>
    </row>
    <row r="409" spans="1:8" x14ac:dyDescent="0.25">
      <c r="A409" t="s">
        <v>420</v>
      </c>
      <c r="B409" t="s">
        <v>512</v>
      </c>
      <c r="C409" t="s">
        <v>571</v>
      </c>
      <c r="D409">
        <v>17</v>
      </c>
      <c r="E409">
        <v>167</v>
      </c>
      <c r="F409">
        <v>15</v>
      </c>
      <c r="G409" t="s">
        <v>581</v>
      </c>
      <c r="H409">
        <v>2839</v>
      </c>
    </row>
    <row r="410" spans="1:8" x14ac:dyDescent="0.25">
      <c r="A410" t="s">
        <v>421</v>
      </c>
      <c r="B410" t="s">
        <v>513</v>
      </c>
      <c r="C410" t="s">
        <v>568</v>
      </c>
      <c r="D410">
        <v>10</v>
      </c>
      <c r="E410">
        <v>358</v>
      </c>
      <c r="F410">
        <v>10</v>
      </c>
      <c r="G410" t="s">
        <v>579</v>
      </c>
      <c r="H410">
        <v>3580</v>
      </c>
    </row>
    <row r="411" spans="1:8" x14ac:dyDescent="0.25">
      <c r="A411" t="s">
        <v>422</v>
      </c>
      <c r="B411" t="s">
        <v>513</v>
      </c>
      <c r="C411" t="s">
        <v>570</v>
      </c>
      <c r="D411">
        <v>12</v>
      </c>
      <c r="E411">
        <v>12</v>
      </c>
      <c r="F411">
        <v>0</v>
      </c>
      <c r="G411" t="s">
        <v>580</v>
      </c>
      <c r="H411">
        <v>144</v>
      </c>
    </row>
    <row r="412" spans="1:8" x14ac:dyDescent="0.25">
      <c r="A412" t="s">
        <v>423</v>
      </c>
      <c r="B412" t="s">
        <v>514</v>
      </c>
      <c r="C412" t="s">
        <v>574</v>
      </c>
      <c r="D412">
        <v>4</v>
      </c>
      <c r="E412">
        <v>80</v>
      </c>
      <c r="F412">
        <v>5</v>
      </c>
      <c r="G412" t="s">
        <v>579</v>
      </c>
      <c r="H412">
        <v>320</v>
      </c>
    </row>
    <row r="413" spans="1:8" x14ac:dyDescent="0.25">
      <c r="A413" t="s">
        <v>424</v>
      </c>
      <c r="B413" t="s">
        <v>512</v>
      </c>
      <c r="C413" t="s">
        <v>565</v>
      </c>
      <c r="D413">
        <v>16</v>
      </c>
      <c r="E413">
        <v>5</v>
      </c>
      <c r="F413">
        <v>0</v>
      </c>
      <c r="G413" t="s">
        <v>578</v>
      </c>
      <c r="H413">
        <v>80</v>
      </c>
    </row>
    <row r="414" spans="1:8" x14ac:dyDescent="0.25">
      <c r="A414" t="s">
        <v>425</v>
      </c>
      <c r="B414" t="s">
        <v>511</v>
      </c>
      <c r="C414" t="s">
        <v>570</v>
      </c>
      <c r="D414">
        <v>19</v>
      </c>
      <c r="E414">
        <v>15</v>
      </c>
      <c r="F414">
        <v>10</v>
      </c>
      <c r="G414" t="s">
        <v>578</v>
      </c>
      <c r="H414">
        <v>285</v>
      </c>
    </row>
    <row r="415" spans="1:8" x14ac:dyDescent="0.25">
      <c r="A415" t="s">
        <v>426</v>
      </c>
      <c r="B415" t="s">
        <v>511</v>
      </c>
      <c r="C415" t="s">
        <v>572</v>
      </c>
      <c r="D415">
        <v>20</v>
      </c>
      <c r="E415">
        <v>79</v>
      </c>
      <c r="F415">
        <v>5</v>
      </c>
      <c r="G415" t="s">
        <v>578</v>
      </c>
      <c r="H415">
        <v>1580</v>
      </c>
    </row>
    <row r="416" spans="1:8" x14ac:dyDescent="0.25">
      <c r="A416" t="s">
        <v>427</v>
      </c>
      <c r="B416" t="s">
        <v>514</v>
      </c>
      <c r="C416" t="s">
        <v>570</v>
      </c>
      <c r="D416">
        <v>12</v>
      </c>
      <c r="E416">
        <v>8</v>
      </c>
      <c r="F416">
        <v>0</v>
      </c>
      <c r="G416" t="s">
        <v>580</v>
      </c>
      <c r="H416">
        <v>96</v>
      </c>
    </row>
    <row r="417" spans="1:8" x14ac:dyDescent="0.25">
      <c r="A417" t="s">
        <v>428</v>
      </c>
      <c r="B417" t="s">
        <v>512</v>
      </c>
      <c r="C417" t="s">
        <v>571</v>
      </c>
      <c r="D417">
        <v>3</v>
      </c>
      <c r="E417">
        <v>113</v>
      </c>
      <c r="F417">
        <v>15</v>
      </c>
      <c r="G417" t="s">
        <v>581</v>
      </c>
      <c r="H417">
        <v>339</v>
      </c>
    </row>
    <row r="418" spans="1:8" x14ac:dyDescent="0.25">
      <c r="A418" t="s">
        <v>429</v>
      </c>
      <c r="B418" t="s">
        <v>512</v>
      </c>
      <c r="C418" t="s">
        <v>573</v>
      </c>
      <c r="D418">
        <v>16</v>
      </c>
      <c r="E418">
        <v>228</v>
      </c>
      <c r="F418">
        <v>5</v>
      </c>
      <c r="G418" t="s">
        <v>581</v>
      </c>
      <c r="H418">
        <v>3648</v>
      </c>
    </row>
    <row r="419" spans="1:8" x14ac:dyDescent="0.25">
      <c r="A419" t="s">
        <v>430</v>
      </c>
      <c r="B419" t="s">
        <v>511</v>
      </c>
      <c r="C419" t="s">
        <v>571</v>
      </c>
      <c r="D419">
        <v>20</v>
      </c>
      <c r="E419">
        <v>75</v>
      </c>
      <c r="F419">
        <v>10</v>
      </c>
      <c r="G419" t="s">
        <v>579</v>
      </c>
      <c r="H419">
        <v>1500</v>
      </c>
    </row>
    <row r="420" spans="1:8" x14ac:dyDescent="0.25">
      <c r="A420" t="s">
        <v>431</v>
      </c>
      <c r="B420" t="s">
        <v>513</v>
      </c>
      <c r="C420" t="s">
        <v>569</v>
      </c>
      <c r="D420">
        <v>17</v>
      </c>
      <c r="E420">
        <v>743</v>
      </c>
      <c r="F420">
        <v>10</v>
      </c>
      <c r="G420" t="s">
        <v>581</v>
      </c>
      <c r="H420">
        <v>12631</v>
      </c>
    </row>
    <row r="421" spans="1:8" x14ac:dyDescent="0.25">
      <c r="A421" t="s">
        <v>432</v>
      </c>
      <c r="B421" t="s">
        <v>511</v>
      </c>
      <c r="C421" t="s">
        <v>565</v>
      </c>
      <c r="D421">
        <v>6</v>
      </c>
      <c r="E421">
        <v>1</v>
      </c>
      <c r="F421">
        <v>0</v>
      </c>
      <c r="G421" t="s">
        <v>578</v>
      </c>
      <c r="H421">
        <v>6</v>
      </c>
    </row>
    <row r="422" spans="1:8" x14ac:dyDescent="0.25">
      <c r="A422" t="s">
        <v>433</v>
      </c>
      <c r="B422" t="s">
        <v>514</v>
      </c>
      <c r="C422" t="s">
        <v>571</v>
      </c>
      <c r="D422">
        <v>12</v>
      </c>
      <c r="E422">
        <v>249</v>
      </c>
      <c r="F422">
        <v>5</v>
      </c>
      <c r="G422" t="s">
        <v>578</v>
      </c>
      <c r="H422">
        <v>2988</v>
      </c>
    </row>
    <row r="423" spans="1:8" x14ac:dyDescent="0.25">
      <c r="A423" t="s">
        <v>434</v>
      </c>
      <c r="B423" t="s">
        <v>511</v>
      </c>
      <c r="C423" t="s">
        <v>573</v>
      </c>
      <c r="D423">
        <v>18</v>
      </c>
      <c r="E423">
        <v>354</v>
      </c>
      <c r="F423">
        <v>15</v>
      </c>
      <c r="G423" t="s">
        <v>579</v>
      </c>
      <c r="H423">
        <v>6372</v>
      </c>
    </row>
    <row r="424" spans="1:8" x14ac:dyDescent="0.25">
      <c r="A424" t="s">
        <v>435</v>
      </c>
      <c r="B424" t="s">
        <v>511</v>
      </c>
      <c r="C424" t="s">
        <v>565</v>
      </c>
      <c r="D424">
        <v>10</v>
      </c>
      <c r="E424">
        <v>8</v>
      </c>
      <c r="F424">
        <v>5</v>
      </c>
      <c r="G424" t="s">
        <v>580</v>
      </c>
      <c r="H424">
        <v>80</v>
      </c>
    </row>
    <row r="425" spans="1:8" x14ac:dyDescent="0.25">
      <c r="A425" t="s">
        <v>436</v>
      </c>
      <c r="B425" t="s">
        <v>511</v>
      </c>
      <c r="C425" t="s">
        <v>567</v>
      </c>
      <c r="D425">
        <v>14</v>
      </c>
      <c r="E425">
        <v>953</v>
      </c>
      <c r="F425">
        <v>5</v>
      </c>
      <c r="G425" t="s">
        <v>580</v>
      </c>
      <c r="H425">
        <v>13342</v>
      </c>
    </row>
    <row r="426" spans="1:8" x14ac:dyDescent="0.25">
      <c r="A426" t="s">
        <v>437</v>
      </c>
      <c r="B426" t="s">
        <v>513</v>
      </c>
      <c r="C426" t="s">
        <v>568</v>
      </c>
      <c r="D426">
        <v>4</v>
      </c>
      <c r="E426">
        <v>375</v>
      </c>
      <c r="F426">
        <v>10</v>
      </c>
      <c r="G426" t="s">
        <v>581</v>
      </c>
      <c r="H426">
        <v>1500</v>
      </c>
    </row>
    <row r="427" spans="1:8" x14ac:dyDescent="0.25">
      <c r="A427" t="s">
        <v>438</v>
      </c>
      <c r="B427" t="s">
        <v>512</v>
      </c>
      <c r="C427" t="s">
        <v>566</v>
      </c>
      <c r="D427">
        <v>8</v>
      </c>
      <c r="E427">
        <v>317</v>
      </c>
      <c r="F427">
        <v>10</v>
      </c>
      <c r="G427" t="s">
        <v>580</v>
      </c>
      <c r="H427">
        <v>2536</v>
      </c>
    </row>
    <row r="428" spans="1:8" x14ac:dyDescent="0.25">
      <c r="A428" t="s">
        <v>439</v>
      </c>
      <c r="B428" t="s">
        <v>514</v>
      </c>
      <c r="C428" t="s">
        <v>574</v>
      </c>
      <c r="D428">
        <v>9</v>
      </c>
      <c r="E428">
        <v>83</v>
      </c>
      <c r="F428">
        <v>0</v>
      </c>
      <c r="G428" t="s">
        <v>578</v>
      </c>
      <c r="H428">
        <v>747</v>
      </c>
    </row>
    <row r="429" spans="1:8" x14ac:dyDescent="0.25">
      <c r="A429" t="s">
        <v>440</v>
      </c>
      <c r="B429" t="s">
        <v>514</v>
      </c>
      <c r="C429" t="s">
        <v>567</v>
      </c>
      <c r="D429">
        <v>4</v>
      </c>
      <c r="E429">
        <v>1078</v>
      </c>
      <c r="F429">
        <v>0</v>
      </c>
      <c r="G429" t="s">
        <v>578</v>
      </c>
      <c r="H429">
        <v>4312</v>
      </c>
    </row>
    <row r="430" spans="1:8" x14ac:dyDescent="0.25">
      <c r="A430" t="s">
        <v>441</v>
      </c>
      <c r="B430" t="s">
        <v>512</v>
      </c>
      <c r="C430" t="s">
        <v>568</v>
      </c>
      <c r="D430">
        <v>1</v>
      </c>
      <c r="E430">
        <v>447</v>
      </c>
      <c r="F430">
        <v>15</v>
      </c>
      <c r="G430" t="s">
        <v>581</v>
      </c>
      <c r="H430">
        <v>447</v>
      </c>
    </row>
    <row r="431" spans="1:8" x14ac:dyDescent="0.25">
      <c r="A431" t="s">
        <v>442</v>
      </c>
      <c r="B431" t="s">
        <v>511</v>
      </c>
      <c r="C431" t="s">
        <v>566</v>
      </c>
      <c r="D431">
        <v>2</v>
      </c>
      <c r="E431">
        <v>264</v>
      </c>
      <c r="F431">
        <v>15</v>
      </c>
      <c r="G431" t="s">
        <v>581</v>
      </c>
      <c r="H431">
        <v>528</v>
      </c>
    </row>
    <row r="432" spans="1:8" x14ac:dyDescent="0.25">
      <c r="A432" t="s">
        <v>443</v>
      </c>
      <c r="B432" t="s">
        <v>513</v>
      </c>
      <c r="C432" t="s">
        <v>574</v>
      </c>
      <c r="D432">
        <v>7</v>
      </c>
      <c r="E432">
        <v>126</v>
      </c>
      <c r="F432">
        <v>5</v>
      </c>
      <c r="G432" t="s">
        <v>580</v>
      </c>
      <c r="H432">
        <v>882</v>
      </c>
    </row>
    <row r="433" spans="1:8" x14ac:dyDescent="0.25">
      <c r="A433" t="s">
        <v>444</v>
      </c>
      <c r="B433" t="s">
        <v>513</v>
      </c>
      <c r="C433" t="s">
        <v>571</v>
      </c>
      <c r="D433">
        <v>1</v>
      </c>
      <c r="E433">
        <v>107</v>
      </c>
      <c r="F433">
        <v>5</v>
      </c>
      <c r="G433" t="s">
        <v>578</v>
      </c>
      <c r="H433">
        <v>107</v>
      </c>
    </row>
    <row r="434" spans="1:8" x14ac:dyDescent="0.25">
      <c r="A434" t="s">
        <v>445</v>
      </c>
      <c r="B434" t="s">
        <v>513</v>
      </c>
      <c r="C434" t="s">
        <v>567</v>
      </c>
      <c r="D434">
        <v>3</v>
      </c>
      <c r="E434">
        <v>1179</v>
      </c>
      <c r="F434">
        <v>5</v>
      </c>
      <c r="G434" t="s">
        <v>580</v>
      </c>
      <c r="H434">
        <v>3537</v>
      </c>
    </row>
    <row r="435" spans="1:8" x14ac:dyDescent="0.25">
      <c r="A435" t="s">
        <v>446</v>
      </c>
      <c r="B435" t="s">
        <v>511</v>
      </c>
      <c r="C435" t="s">
        <v>568</v>
      </c>
      <c r="D435">
        <v>7</v>
      </c>
      <c r="E435">
        <v>200</v>
      </c>
      <c r="F435">
        <v>0</v>
      </c>
      <c r="G435" t="s">
        <v>578</v>
      </c>
      <c r="H435">
        <v>1400</v>
      </c>
    </row>
    <row r="436" spans="1:8" x14ac:dyDescent="0.25">
      <c r="A436" t="s">
        <v>447</v>
      </c>
      <c r="B436" t="s">
        <v>514</v>
      </c>
      <c r="C436" t="s">
        <v>570</v>
      </c>
      <c r="D436">
        <v>11</v>
      </c>
      <c r="E436">
        <v>4</v>
      </c>
      <c r="F436">
        <v>5</v>
      </c>
      <c r="G436" t="s">
        <v>579</v>
      </c>
      <c r="H436">
        <v>44</v>
      </c>
    </row>
    <row r="437" spans="1:8" x14ac:dyDescent="0.25">
      <c r="A437" t="s">
        <v>448</v>
      </c>
      <c r="B437" t="s">
        <v>511</v>
      </c>
      <c r="C437" t="s">
        <v>565</v>
      </c>
      <c r="D437">
        <v>8</v>
      </c>
      <c r="E437">
        <v>5</v>
      </c>
      <c r="F437">
        <v>5</v>
      </c>
      <c r="G437" t="s">
        <v>579</v>
      </c>
      <c r="H437">
        <v>40</v>
      </c>
    </row>
    <row r="438" spans="1:8" x14ac:dyDescent="0.25">
      <c r="A438" t="s">
        <v>449</v>
      </c>
      <c r="B438" t="s">
        <v>512</v>
      </c>
      <c r="C438" t="s">
        <v>568</v>
      </c>
      <c r="D438">
        <v>13</v>
      </c>
      <c r="E438">
        <v>349</v>
      </c>
      <c r="F438">
        <v>0</v>
      </c>
      <c r="G438" t="s">
        <v>579</v>
      </c>
      <c r="H438">
        <v>4537</v>
      </c>
    </row>
    <row r="439" spans="1:8" x14ac:dyDescent="0.25">
      <c r="A439" t="s">
        <v>450</v>
      </c>
      <c r="B439" t="s">
        <v>511</v>
      </c>
      <c r="C439" t="s">
        <v>567</v>
      </c>
      <c r="D439">
        <v>3</v>
      </c>
      <c r="E439">
        <v>1434</v>
      </c>
      <c r="F439">
        <v>5</v>
      </c>
      <c r="G439" t="s">
        <v>578</v>
      </c>
      <c r="H439">
        <v>4302</v>
      </c>
    </row>
    <row r="440" spans="1:8" x14ac:dyDescent="0.25">
      <c r="A440" t="s">
        <v>451</v>
      </c>
      <c r="B440" t="s">
        <v>511</v>
      </c>
      <c r="C440" t="s">
        <v>573</v>
      </c>
      <c r="D440">
        <v>19</v>
      </c>
      <c r="E440">
        <v>221</v>
      </c>
      <c r="F440">
        <v>0</v>
      </c>
      <c r="G440" t="s">
        <v>581</v>
      </c>
      <c r="H440">
        <v>4199</v>
      </c>
    </row>
    <row r="441" spans="1:8" x14ac:dyDescent="0.25">
      <c r="A441" t="s">
        <v>452</v>
      </c>
      <c r="B441" t="s">
        <v>512</v>
      </c>
      <c r="C441" t="s">
        <v>570</v>
      </c>
      <c r="D441">
        <v>6</v>
      </c>
      <c r="E441">
        <v>5</v>
      </c>
      <c r="F441">
        <v>0</v>
      </c>
      <c r="G441" t="s">
        <v>581</v>
      </c>
      <c r="H441">
        <v>30</v>
      </c>
    </row>
    <row r="442" spans="1:8" x14ac:dyDescent="0.25">
      <c r="A442" t="s">
        <v>453</v>
      </c>
      <c r="B442" t="s">
        <v>514</v>
      </c>
      <c r="C442" t="s">
        <v>569</v>
      </c>
      <c r="D442">
        <v>7</v>
      </c>
      <c r="E442">
        <v>789</v>
      </c>
      <c r="F442">
        <v>15</v>
      </c>
      <c r="G442" t="s">
        <v>578</v>
      </c>
      <c r="H442">
        <v>5523</v>
      </c>
    </row>
    <row r="443" spans="1:8" x14ac:dyDescent="0.25">
      <c r="A443" t="s">
        <v>454</v>
      </c>
      <c r="B443" t="s">
        <v>514</v>
      </c>
      <c r="C443" t="s">
        <v>571</v>
      </c>
      <c r="D443">
        <v>17</v>
      </c>
      <c r="E443">
        <v>274</v>
      </c>
      <c r="F443">
        <v>0</v>
      </c>
      <c r="G443" t="s">
        <v>581</v>
      </c>
      <c r="H443">
        <v>4658</v>
      </c>
    </row>
    <row r="444" spans="1:8" x14ac:dyDescent="0.25">
      <c r="A444" t="s">
        <v>455</v>
      </c>
      <c r="B444" t="s">
        <v>514</v>
      </c>
      <c r="C444" t="s">
        <v>571</v>
      </c>
      <c r="D444">
        <v>2</v>
      </c>
      <c r="E444">
        <v>64</v>
      </c>
      <c r="F444">
        <v>5</v>
      </c>
      <c r="G444" t="s">
        <v>580</v>
      </c>
      <c r="H444">
        <v>128</v>
      </c>
    </row>
    <row r="445" spans="1:8" x14ac:dyDescent="0.25">
      <c r="A445" t="s">
        <v>456</v>
      </c>
      <c r="B445" t="s">
        <v>514</v>
      </c>
      <c r="C445" t="s">
        <v>573</v>
      </c>
      <c r="D445">
        <v>8</v>
      </c>
      <c r="E445">
        <v>327</v>
      </c>
      <c r="F445">
        <v>15</v>
      </c>
      <c r="G445" t="s">
        <v>581</v>
      </c>
      <c r="H445">
        <v>2616</v>
      </c>
    </row>
    <row r="446" spans="1:8" x14ac:dyDescent="0.25">
      <c r="A446" t="s">
        <v>457</v>
      </c>
      <c r="B446" t="s">
        <v>513</v>
      </c>
      <c r="C446" t="s">
        <v>573</v>
      </c>
      <c r="D446">
        <v>14</v>
      </c>
      <c r="E446">
        <v>108</v>
      </c>
      <c r="F446">
        <v>10</v>
      </c>
      <c r="G446" t="s">
        <v>579</v>
      </c>
      <c r="H446">
        <v>1512</v>
      </c>
    </row>
    <row r="447" spans="1:8" x14ac:dyDescent="0.25">
      <c r="A447" t="s">
        <v>458</v>
      </c>
      <c r="B447" t="s">
        <v>514</v>
      </c>
      <c r="C447" t="s">
        <v>566</v>
      </c>
      <c r="D447">
        <v>17</v>
      </c>
      <c r="E447">
        <v>138</v>
      </c>
      <c r="F447">
        <v>5</v>
      </c>
      <c r="G447" t="s">
        <v>580</v>
      </c>
      <c r="H447">
        <v>2346</v>
      </c>
    </row>
    <row r="448" spans="1:8" x14ac:dyDescent="0.25">
      <c r="A448" t="s">
        <v>459</v>
      </c>
      <c r="B448" t="s">
        <v>513</v>
      </c>
      <c r="C448" t="s">
        <v>571</v>
      </c>
      <c r="D448">
        <v>1</v>
      </c>
      <c r="E448">
        <v>52</v>
      </c>
      <c r="F448">
        <v>15</v>
      </c>
      <c r="G448" t="s">
        <v>581</v>
      </c>
      <c r="H448">
        <v>52</v>
      </c>
    </row>
    <row r="449" spans="1:8" x14ac:dyDescent="0.25">
      <c r="A449" t="s">
        <v>460</v>
      </c>
      <c r="B449" t="s">
        <v>512</v>
      </c>
      <c r="C449" t="s">
        <v>567</v>
      </c>
      <c r="D449">
        <v>18</v>
      </c>
      <c r="E449">
        <v>870</v>
      </c>
      <c r="F449">
        <v>15</v>
      </c>
      <c r="G449" t="s">
        <v>579</v>
      </c>
      <c r="H449">
        <v>15660</v>
      </c>
    </row>
    <row r="450" spans="1:8" x14ac:dyDescent="0.25">
      <c r="A450" t="s">
        <v>461</v>
      </c>
      <c r="B450" t="s">
        <v>512</v>
      </c>
      <c r="C450" t="s">
        <v>571</v>
      </c>
      <c r="D450">
        <v>11</v>
      </c>
      <c r="E450">
        <v>268</v>
      </c>
      <c r="F450">
        <v>15</v>
      </c>
      <c r="G450" t="s">
        <v>581</v>
      </c>
      <c r="H450">
        <v>2948</v>
      </c>
    </row>
    <row r="451" spans="1:8" x14ac:dyDescent="0.25">
      <c r="A451" t="s">
        <v>462</v>
      </c>
      <c r="B451" t="s">
        <v>512</v>
      </c>
      <c r="C451" t="s">
        <v>574</v>
      </c>
      <c r="D451">
        <v>12</v>
      </c>
      <c r="E451">
        <v>106</v>
      </c>
      <c r="F451">
        <v>0</v>
      </c>
      <c r="G451" t="s">
        <v>581</v>
      </c>
      <c r="H451">
        <v>1272</v>
      </c>
    </row>
    <row r="452" spans="1:8" x14ac:dyDescent="0.25">
      <c r="A452" t="s">
        <v>463</v>
      </c>
      <c r="B452" t="s">
        <v>514</v>
      </c>
      <c r="C452" t="s">
        <v>567</v>
      </c>
      <c r="D452">
        <v>13</v>
      </c>
      <c r="E452">
        <v>1404</v>
      </c>
      <c r="F452">
        <v>0</v>
      </c>
      <c r="G452" t="s">
        <v>580</v>
      </c>
      <c r="H452">
        <v>18252</v>
      </c>
    </row>
    <row r="453" spans="1:8" x14ac:dyDescent="0.25">
      <c r="A453" t="s">
        <v>464</v>
      </c>
      <c r="B453" t="s">
        <v>513</v>
      </c>
      <c r="C453" t="s">
        <v>569</v>
      </c>
      <c r="D453">
        <v>3</v>
      </c>
      <c r="E453">
        <v>953</v>
      </c>
      <c r="F453">
        <v>15</v>
      </c>
      <c r="G453" t="s">
        <v>579</v>
      </c>
      <c r="H453">
        <v>2859</v>
      </c>
    </row>
    <row r="454" spans="1:8" x14ac:dyDescent="0.25">
      <c r="A454" t="s">
        <v>465</v>
      </c>
      <c r="B454" t="s">
        <v>511</v>
      </c>
      <c r="C454" t="s">
        <v>566</v>
      </c>
      <c r="D454">
        <v>10</v>
      </c>
      <c r="E454">
        <v>306</v>
      </c>
      <c r="F454">
        <v>10</v>
      </c>
      <c r="G454" t="s">
        <v>578</v>
      </c>
      <c r="H454">
        <v>3060</v>
      </c>
    </row>
    <row r="455" spans="1:8" x14ac:dyDescent="0.25">
      <c r="A455" t="s">
        <v>466</v>
      </c>
      <c r="B455" t="s">
        <v>512</v>
      </c>
      <c r="C455" t="s">
        <v>569</v>
      </c>
      <c r="D455">
        <v>13</v>
      </c>
      <c r="E455">
        <v>692</v>
      </c>
      <c r="F455">
        <v>15</v>
      </c>
      <c r="G455" t="s">
        <v>579</v>
      </c>
      <c r="H455">
        <v>8996</v>
      </c>
    </row>
    <row r="456" spans="1:8" x14ac:dyDescent="0.25">
      <c r="A456" t="s">
        <v>467</v>
      </c>
      <c r="B456" t="s">
        <v>514</v>
      </c>
      <c r="C456" t="s">
        <v>569</v>
      </c>
      <c r="D456">
        <v>5</v>
      </c>
      <c r="E456">
        <v>687</v>
      </c>
      <c r="F456">
        <v>5</v>
      </c>
      <c r="G456" t="s">
        <v>579</v>
      </c>
      <c r="H456">
        <v>3435</v>
      </c>
    </row>
    <row r="457" spans="1:8" x14ac:dyDescent="0.25">
      <c r="A457" t="s">
        <v>468</v>
      </c>
      <c r="B457" t="s">
        <v>511</v>
      </c>
      <c r="C457" t="s">
        <v>567</v>
      </c>
      <c r="D457">
        <v>5</v>
      </c>
      <c r="E457">
        <v>1336</v>
      </c>
      <c r="F457">
        <v>0</v>
      </c>
      <c r="G457" t="s">
        <v>581</v>
      </c>
      <c r="H457">
        <v>6680</v>
      </c>
    </row>
    <row r="458" spans="1:8" x14ac:dyDescent="0.25">
      <c r="A458" t="s">
        <v>469</v>
      </c>
      <c r="B458" t="s">
        <v>513</v>
      </c>
      <c r="C458" t="s">
        <v>574</v>
      </c>
      <c r="D458">
        <v>19</v>
      </c>
      <c r="E458">
        <v>41</v>
      </c>
      <c r="F458">
        <v>10</v>
      </c>
      <c r="G458" t="s">
        <v>579</v>
      </c>
      <c r="H458">
        <v>779</v>
      </c>
    </row>
    <row r="459" spans="1:8" x14ac:dyDescent="0.25">
      <c r="A459" t="s">
        <v>470</v>
      </c>
      <c r="B459" t="s">
        <v>511</v>
      </c>
      <c r="C459" t="s">
        <v>571</v>
      </c>
      <c r="D459">
        <v>12</v>
      </c>
      <c r="E459">
        <v>193</v>
      </c>
      <c r="F459">
        <v>10</v>
      </c>
      <c r="G459" t="s">
        <v>578</v>
      </c>
      <c r="H459">
        <v>2316</v>
      </c>
    </row>
    <row r="460" spans="1:8" x14ac:dyDescent="0.25">
      <c r="A460" t="s">
        <v>471</v>
      </c>
      <c r="B460" t="s">
        <v>512</v>
      </c>
      <c r="C460" t="s">
        <v>571</v>
      </c>
      <c r="D460">
        <v>18</v>
      </c>
      <c r="E460">
        <v>116</v>
      </c>
      <c r="F460">
        <v>15</v>
      </c>
      <c r="G460" t="s">
        <v>580</v>
      </c>
      <c r="H460">
        <v>2088</v>
      </c>
    </row>
    <row r="461" spans="1:8" x14ac:dyDescent="0.25">
      <c r="A461" t="s">
        <v>472</v>
      </c>
      <c r="B461" t="s">
        <v>513</v>
      </c>
      <c r="C461" t="s">
        <v>574</v>
      </c>
      <c r="D461">
        <v>13</v>
      </c>
      <c r="E461">
        <v>57</v>
      </c>
      <c r="F461">
        <v>15</v>
      </c>
      <c r="G461" t="s">
        <v>578</v>
      </c>
      <c r="H461">
        <v>741</v>
      </c>
    </row>
    <row r="462" spans="1:8" x14ac:dyDescent="0.25">
      <c r="A462" t="s">
        <v>473</v>
      </c>
      <c r="B462" t="s">
        <v>511</v>
      </c>
      <c r="C462" t="s">
        <v>568</v>
      </c>
      <c r="D462">
        <v>14</v>
      </c>
      <c r="E462">
        <v>177</v>
      </c>
      <c r="F462">
        <v>0</v>
      </c>
      <c r="G462" t="s">
        <v>578</v>
      </c>
      <c r="H462">
        <v>2478</v>
      </c>
    </row>
    <row r="463" spans="1:8" x14ac:dyDescent="0.25">
      <c r="A463" t="s">
        <v>474</v>
      </c>
      <c r="B463" t="s">
        <v>513</v>
      </c>
      <c r="C463" t="s">
        <v>570</v>
      </c>
      <c r="D463">
        <v>17</v>
      </c>
      <c r="E463">
        <v>9</v>
      </c>
      <c r="F463">
        <v>0</v>
      </c>
      <c r="G463" t="s">
        <v>578</v>
      </c>
      <c r="H463">
        <v>153</v>
      </c>
    </row>
    <row r="464" spans="1:8" x14ac:dyDescent="0.25">
      <c r="A464" t="s">
        <v>475</v>
      </c>
      <c r="B464" t="s">
        <v>511</v>
      </c>
      <c r="C464" t="s">
        <v>571</v>
      </c>
      <c r="D464">
        <v>17</v>
      </c>
      <c r="E464">
        <v>106</v>
      </c>
      <c r="F464">
        <v>0</v>
      </c>
      <c r="G464" t="s">
        <v>581</v>
      </c>
      <c r="H464">
        <v>1802</v>
      </c>
    </row>
    <row r="465" spans="1:8" x14ac:dyDescent="0.25">
      <c r="A465" t="s">
        <v>476</v>
      </c>
      <c r="B465" t="s">
        <v>511</v>
      </c>
      <c r="C465" t="s">
        <v>571</v>
      </c>
      <c r="D465">
        <v>14</v>
      </c>
      <c r="E465">
        <v>223</v>
      </c>
      <c r="F465">
        <v>15</v>
      </c>
      <c r="G465" t="s">
        <v>579</v>
      </c>
      <c r="H465">
        <v>3122</v>
      </c>
    </row>
    <row r="466" spans="1:8" x14ac:dyDescent="0.25">
      <c r="A466" t="s">
        <v>477</v>
      </c>
      <c r="B466" t="s">
        <v>513</v>
      </c>
      <c r="C466" t="s">
        <v>566</v>
      </c>
      <c r="D466">
        <v>8</v>
      </c>
      <c r="E466">
        <v>103</v>
      </c>
      <c r="F466">
        <v>0</v>
      </c>
      <c r="G466" t="s">
        <v>580</v>
      </c>
      <c r="H466">
        <v>824</v>
      </c>
    </row>
    <row r="467" spans="1:8" x14ac:dyDescent="0.25">
      <c r="A467" t="s">
        <v>478</v>
      </c>
      <c r="B467" t="s">
        <v>514</v>
      </c>
      <c r="C467" t="s">
        <v>573</v>
      </c>
      <c r="D467">
        <v>13</v>
      </c>
      <c r="E467">
        <v>300</v>
      </c>
      <c r="F467">
        <v>5</v>
      </c>
      <c r="G467" t="s">
        <v>580</v>
      </c>
      <c r="H467">
        <v>3900</v>
      </c>
    </row>
    <row r="468" spans="1:8" x14ac:dyDescent="0.25">
      <c r="A468" t="s">
        <v>479</v>
      </c>
      <c r="B468" t="s">
        <v>513</v>
      </c>
      <c r="C468" t="s">
        <v>571</v>
      </c>
      <c r="D468">
        <v>13</v>
      </c>
      <c r="E468">
        <v>103</v>
      </c>
      <c r="F468">
        <v>5</v>
      </c>
      <c r="G468" t="s">
        <v>581</v>
      </c>
      <c r="H468">
        <v>1339</v>
      </c>
    </row>
    <row r="469" spans="1:8" x14ac:dyDescent="0.25">
      <c r="A469" t="s">
        <v>480</v>
      </c>
      <c r="B469" t="s">
        <v>511</v>
      </c>
      <c r="C469" t="s">
        <v>573</v>
      </c>
      <c r="D469">
        <v>7</v>
      </c>
      <c r="E469">
        <v>302</v>
      </c>
      <c r="F469">
        <v>10</v>
      </c>
      <c r="G469" t="s">
        <v>579</v>
      </c>
      <c r="H469">
        <v>2114</v>
      </c>
    </row>
    <row r="470" spans="1:8" x14ac:dyDescent="0.25">
      <c r="A470" t="s">
        <v>481</v>
      </c>
      <c r="B470" t="s">
        <v>512</v>
      </c>
      <c r="C470" t="s">
        <v>566</v>
      </c>
      <c r="D470">
        <v>8</v>
      </c>
      <c r="E470">
        <v>429</v>
      </c>
      <c r="F470">
        <v>15</v>
      </c>
      <c r="G470" t="s">
        <v>581</v>
      </c>
      <c r="H470">
        <v>3432</v>
      </c>
    </row>
    <row r="471" spans="1:8" x14ac:dyDescent="0.25">
      <c r="A471" t="s">
        <v>482</v>
      </c>
      <c r="B471" t="s">
        <v>511</v>
      </c>
      <c r="C471" t="s">
        <v>565</v>
      </c>
      <c r="D471">
        <v>14</v>
      </c>
      <c r="E471">
        <v>1</v>
      </c>
      <c r="F471">
        <v>0</v>
      </c>
      <c r="G471" t="s">
        <v>581</v>
      </c>
      <c r="H471">
        <v>14</v>
      </c>
    </row>
    <row r="472" spans="1:8" x14ac:dyDescent="0.25">
      <c r="A472" t="s">
        <v>483</v>
      </c>
      <c r="B472" t="s">
        <v>513</v>
      </c>
      <c r="C472" t="s">
        <v>569</v>
      </c>
      <c r="D472">
        <v>4</v>
      </c>
      <c r="E472">
        <v>410</v>
      </c>
      <c r="F472">
        <v>10</v>
      </c>
      <c r="G472" t="s">
        <v>578</v>
      </c>
      <c r="H472">
        <v>1640</v>
      </c>
    </row>
    <row r="473" spans="1:8" x14ac:dyDescent="0.25">
      <c r="A473" t="s">
        <v>484</v>
      </c>
      <c r="B473" t="s">
        <v>511</v>
      </c>
      <c r="C473" t="s">
        <v>570</v>
      </c>
      <c r="D473">
        <v>15</v>
      </c>
      <c r="E473">
        <v>11</v>
      </c>
      <c r="F473">
        <v>5</v>
      </c>
      <c r="G473" t="s">
        <v>581</v>
      </c>
      <c r="H473">
        <v>165</v>
      </c>
    </row>
    <row r="474" spans="1:8" x14ac:dyDescent="0.25">
      <c r="A474" t="s">
        <v>485</v>
      </c>
      <c r="B474" t="s">
        <v>513</v>
      </c>
      <c r="C474" t="s">
        <v>571</v>
      </c>
      <c r="D474">
        <v>4</v>
      </c>
      <c r="E474">
        <v>101</v>
      </c>
      <c r="F474">
        <v>15</v>
      </c>
      <c r="G474" t="s">
        <v>578</v>
      </c>
      <c r="H474">
        <v>404</v>
      </c>
    </row>
    <row r="475" spans="1:8" x14ac:dyDescent="0.25">
      <c r="A475" t="s">
        <v>62</v>
      </c>
      <c r="B475" t="s">
        <v>513</v>
      </c>
      <c r="C475" t="s">
        <v>566</v>
      </c>
      <c r="D475">
        <v>1</v>
      </c>
      <c r="E475">
        <v>370</v>
      </c>
      <c r="F475">
        <v>15</v>
      </c>
      <c r="G475" t="s">
        <v>579</v>
      </c>
      <c r="H475">
        <v>370</v>
      </c>
    </row>
    <row r="476" spans="1:8" x14ac:dyDescent="0.25">
      <c r="A476" t="s">
        <v>486</v>
      </c>
      <c r="B476" t="s">
        <v>514</v>
      </c>
      <c r="C476" t="s">
        <v>568</v>
      </c>
      <c r="D476">
        <v>15</v>
      </c>
      <c r="E476">
        <v>275</v>
      </c>
      <c r="F476">
        <v>0</v>
      </c>
      <c r="G476" t="s">
        <v>579</v>
      </c>
      <c r="H476">
        <v>4125</v>
      </c>
    </row>
    <row r="477" spans="1:8" x14ac:dyDescent="0.25">
      <c r="A477" t="s">
        <v>487</v>
      </c>
      <c r="B477" t="s">
        <v>513</v>
      </c>
      <c r="C477" t="s">
        <v>569</v>
      </c>
      <c r="D477">
        <v>12</v>
      </c>
      <c r="E477">
        <v>960</v>
      </c>
      <c r="F477">
        <v>0</v>
      </c>
      <c r="G477" t="s">
        <v>581</v>
      </c>
      <c r="H477">
        <v>11520</v>
      </c>
    </row>
    <row r="478" spans="1:8" x14ac:dyDescent="0.25">
      <c r="A478" t="s">
        <v>488</v>
      </c>
      <c r="B478" t="s">
        <v>513</v>
      </c>
      <c r="C478" t="s">
        <v>567</v>
      </c>
      <c r="D478">
        <v>16</v>
      </c>
      <c r="E478">
        <v>1064</v>
      </c>
      <c r="F478">
        <v>5</v>
      </c>
      <c r="G478" t="s">
        <v>581</v>
      </c>
      <c r="H478">
        <v>17024</v>
      </c>
    </row>
    <row r="479" spans="1:8" x14ac:dyDescent="0.25">
      <c r="A479" t="s">
        <v>489</v>
      </c>
      <c r="B479" t="s">
        <v>511</v>
      </c>
      <c r="C479" t="s">
        <v>572</v>
      </c>
      <c r="D479">
        <v>2</v>
      </c>
      <c r="E479">
        <v>77</v>
      </c>
      <c r="F479">
        <v>15</v>
      </c>
      <c r="G479" t="s">
        <v>581</v>
      </c>
      <c r="H479">
        <v>154</v>
      </c>
    </row>
    <row r="480" spans="1:8" x14ac:dyDescent="0.25">
      <c r="A480" t="s">
        <v>490</v>
      </c>
      <c r="B480" t="s">
        <v>513</v>
      </c>
      <c r="C480" t="s">
        <v>567</v>
      </c>
      <c r="D480">
        <v>12</v>
      </c>
      <c r="E480">
        <v>1251</v>
      </c>
      <c r="F480">
        <v>5</v>
      </c>
      <c r="G480" t="s">
        <v>580</v>
      </c>
      <c r="H480">
        <v>15012</v>
      </c>
    </row>
    <row r="481" spans="1:8" x14ac:dyDescent="0.25">
      <c r="A481" t="s">
        <v>491</v>
      </c>
      <c r="B481" t="s">
        <v>513</v>
      </c>
      <c r="C481" t="s">
        <v>572</v>
      </c>
      <c r="D481">
        <v>5</v>
      </c>
      <c r="E481">
        <v>266</v>
      </c>
      <c r="F481">
        <v>10</v>
      </c>
      <c r="G481" t="s">
        <v>578</v>
      </c>
      <c r="H481">
        <v>1330</v>
      </c>
    </row>
    <row r="482" spans="1:8" x14ac:dyDescent="0.25">
      <c r="A482" t="s">
        <v>492</v>
      </c>
      <c r="B482" t="s">
        <v>514</v>
      </c>
      <c r="C482" t="s">
        <v>566</v>
      </c>
      <c r="D482">
        <v>2</v>
      </c>
      <c r="E482">
        <v>146</v>
      </c>
      <c r="F482">
        <v>15</v>
      </c>
      <c r="G482" t="s">
        <v>580</v>
      </c>
      <c r="H482">
        <v>292</v>
      </c>
    </row>
    <row r="483" spans="1:8" x14ac:dyDescent="0.25">
      <c r="A483" t="s">
        <v>493</v>
      </c>
      <c r="B483" t="s">
        <v>513</v>
      </c>
      <c r="C483" t="s">
        <v>573</v>
      </c>
      <c r="D483">
        <v>8</v>
      </c>
      <c r="E483">
        <v>219</v>
      </c>
      <c r="F483">
        <v>15</v>
      </c>
      <c r="G483" t="s">
        <v>581</v>
      </c>
      <c r="H483">
        <v>1752</v>
      </c>
    </row>
    <row r="484" spans="1:8" x14ac:dyDescent="0.25">
      <c r="A484" t="s">
        <v>494</v>
      </c>
      <c r="B484" t="s">
        <v>514</v>
      </c>
      <c r="C484" t="s">
        <v>566</v>
      </c>
      <c r="D484">
        <v>17</v>
      </c>
      <c r="E484">
        <v>430</v>
      </c>
      <c r="F484">
        <v>15</v>
      </c>
      <c r="G484" t="s">
        <v>580</v>
      </c>
      <c r="H484">
        <v>7310</v>
      </c>
    </row>
    <row r="485" spans="1:8" x14ac:dyDescent="0.25">
      <c r="A485" t="s">
        <v>283</v>
      </c>
      <c r="B485" t="s">
        <v>512</v>
      </c>
      <c r="C485" t="s">
        <v>568</v>
      </c>
      <c r="D485">
        <v>13</v>
      </c>
      <c r="E485">
        <v>244</v>
      </c>
      <c r="F485">
        <v>0</v>
      </c>
      <c r="G485" t="s">
        <v>580</v>
      </c>
      <c r="H485">
        <v>3172</v>
      </c>
    </row>
    <row r="486" spans="1:8" x14ac:dyDescent="0.25">
      <c r="A486" t="s">
        <v>495</v>
      </c>
      <c r="B486" t="s">
        <v>513</v>
      </c>
      <c r="C486" t="s">
        <v>570</v>
      </c>
      <c r="D486">
        <v>10</v>
      </c>
      <c r="E486">
        <v>5</v>
      </c>
      <c r="F486">
        <v>15</v>
      </c>
      <c r="G486" t="s">
        <v>581</v>
      </c>
      <c r="H486">
        <v>50</v>
      </c>
    </row>
    <row r="487" spans="1:8" x14ac:dyDescent="0.25">
      <c r="A487" t="s">
        <v>496</v>
      </c>
      <c r="B487" t="s">
        <v>511</v>
      </c>
      <c r="C487" t="s">
        <v>573</v>
      </c>
      <c r="D487">
        <v>6</v>
      </c>
      <c r="E487">
        <v>261</v>
      </c>
      <c r="F487">
        <v>5</v>
      </c>
      <c r="G487" t="s">
        <v>579</v>
      </c>
      <c r="H487">
        <v>1566</v>
      </c>
    </row>
    <row r="488" spans="1:8" x14ac:dyDescent="0.25">
      <c r="A488" t="s">
        <v>497</v>
      </c>
      <c r="B488" t="s">
        <v>514</v>
      </c>
      <c r="C488" t="s">
        <v>572</v>
      </c>
      <c r="D488">
        <v>4</v>
      </c>
      <c r="E488">
        <v>265</v>
      </c>
      <c r="F488">
        <v>5</v>
      </c>
      <c r="G488" t="s">
        <v>580</v>
      </c>
      <c r="H488">
        <v>1060</v>
      </c>
    </row>
    <row r="489" spans="1:8" x14ac:dyDescent="0.25">
      <c r="A489" t="s">
        <v>498</v>
      </c>
      <c r="B489" t="s">
        <v>511</v>
      </c>
      <c r="C489" t="s">
        <v>567</v>
      </c>
      <c r="D489">
        <v>3</v>
      </c>
      <c r="E489">
        <v>1393</v>
      </c>
      <c r="F489">
        <v>0</v>
      </c>
      <c r="G489" t="s">
        <v>580</v>
      </c>
      <c r="H489">
        <v>4179</v>
      </c>
    </row>
    <row r="490" spans="1:8" x14ac:dyDescent="0.25">
      <c r="A490" t="s">
        <v>499</v>
      </c>
      <c r="B490" t="s">
        <v>514</v>
      </c>
      <c r="C490" t="s">
        <v>568</v>
      </c>
      <c r="D490">
        <v>14</v>
      </c>
      <c r="E490">
        <v>269</v>
      </c>
      <c r="F490">
        <v>10</v>
      </c>
      <c r="G490" t="s">
        <v>579</v>
      </c>
      <c r="H490">
        <v>3766</v>
      </c>
    </row>
    <row r="491" spans="1:8" x14ac:dyDescent="0.25">
      <c r="A491" t="s">
        <v>500</v>
      </c>
      <c r="B491" t="s">
        <v>512</v>
      </c>
      <c r="C491" t="s">
        <v>571</v>
      </c>
      <c r="D491">
        <v>3</v>
      </c>
      <c r="E491">
        <v>230</v>
      </c>
      <c r="F491">
        <v>5</v>
      </c>
      <c r="G491" t="s">
        <v>579</v>
      </c>
      <c r="H491">
        <v>690</v>
      </c>
    </row>
    <row r="492" spans="1:8" x14ac:dyDescent="0.25">
      <c r="A492" t="s">
        <v>501</v>
      </c>
      <c r="B492" t="s">
        <v>511</v>
      </c>
      <c r="C492" t="s">
        <v>574</v>
      </c>
      <c r="D492">
        <v>14</v>
      </c>
      <c r="E492">
        <v>76</v>
      </c>
      <c r="F492">
        <v>5</v>
      </c>
      <c r="G492" t="s">
        <v>578</v>
      </c>
      <c r="H492">
        <v>1064</v>
      </c>
    </row>
    <row r="493" spans="1:8" x14ac:dyDescent="0.25">
      <c r="A493" t="s">
        <v>502</v>
      </c>
      <c r="B493" t="s">
        <v>514</v>
      </c>
      <c r="C493" t="s">
        <v>570</v>
      </c>
      <c r="D493">
        <v>2</v>
      </c>
      <c r="E493">
        <v>3</v>
      </c>
      <c r="F493">
        <v>5</v>
      </c>
      <c r="G493" t="s">
        <v>578</v>
      </c>
      <c r="H493">
        <v>6</v>
      </c>
    </row>
    <row r="494" spans="1:8" x14ac:dyDescent="0.25">
      <c r="A494" t="s">
        <v>503</v>
      </c>
      <c r="B494" t="s">
        <v>514</v>
      </c>
      <c r="C494" t="s">
        <v>574</v>
      </c>
      <c r="D494">
        <v>13</v>
      </c>
      <c r="E494">
        <v>131</v>
      </c>
      <c r="F494">
        <v>0</v>
      </c>
      <c r="G494" t="s">
        <v>579</v>
      </c>
      <c r="H494">
        <v>1703</v>
      </c>
    </row>
    <row r="495" spans="1:8" x14ac:dyDescent="0.25">
      <c r="A495" t="s">
        <v>504</v>
      </c>
      <c r="B495" t="s">
        <v>512</v>
      </c>
      <c r="C495" t="s">
        <v>571</v>
      </c>
      <c r="D495">
        <v>5</v>
      </c>
      <c r="E495">
        <v>65</v>
      </c>
      <c r="F495">
        <v>15</v>
      </c>
      <c r="G495" t="s">
        <v>581</v>
      </c>
      <c r="H495">
        <v>325</v>
      </c>
    </row>
    <row r="496" spans="1:8" x14ac:dyDescent="0.25">
      <c r="A496" t="s">
        <v>505</v>
      </c>
      <c r="B496" t="s">
        <v>512</v>
      </c>
      <c r="C496" t="s">
        <v>566</v>
      </c>
      <c r="D496">
        <v>5</v>
      </c>
      <c r="E496">
        <v>226</v>
      </c>
      <c r="F496">
        <v>5</v>
      </c>
      <c r="G496" t="s">
        <v>581</v>
      </c>
      <c r="H496">
        <v>1130</v>
      </c>
    </row>
    <row r="497" spans="1:8" x14ac:dyDescent="0.25">
      <c r="A497" t="s">
        <v>506</v>
      </c>
      <c r="B497" t="s">
        <v>511</v>
      </c>
      <c r="C497" t="s">
        <v>572</v>
      </c>
      <c r="D497">
        <v>2</v>
      </c>
      <c r="E497">
        <v>254</v>
      </c>
      <c r="F497">
        <v>15</v>
      </c>
      <c r="G497" t="s">
        <v>581</v>
      </c>
      <c r="H497">
        <v>508</v>
      </c>
    </row>
    <row r="498" spans="1:8" x14ac:dyDescent="0.25">
      <c r="A498" t="s">
        <v>507</v>
      </c>
      <c r="B498" t="s">
        <v>514</v>
      </c>
      <c r="C498" t="s">
        <v>570</v>
      </c>
      <c r="D498">
        <v>6</v>
      </c>
      <c r="E498">
        <v>12</v>
      </c>
      <c r="F498">
        <v>5</v>
      </c>
      <c r="G498" t="s">
        <v>581</v>
      </c>
      <c r="H498">
        <v>72</v>
      </c>
    </row>
    <row r="499" spans="1:8" x14ac:dyDescent="0.25">
      <c r="A499" t="s">
        <v>508</v>
      </c>
      <c r="B499" t="s">
        <v>512</v>
      </c>
      <c r="C499" t="s">
        <v>565</v>
      </c>
      <c r="D499">
        <v>13</v>
      </c>
      <c r="E499">
        <v>9</v>
      </c>
      <c r="F499">
        <v>5</v>
      </c>
      <c r="G499" t="s">
        <v>579</v>
      </c>
      <c r="H499">
        <v>117</v>
      </c>
    </row>
    <row r="500" spans="1:8" x14ac:dyDescent="0.25">
      <c r="A500" t="s">
        <v>509</v>
      </c>
      <c r="B500" t="s">
        <v>512</v>
      </c>
      <c r="C500" t="s">
        <v>574</v>
      </c>
      <c r="D500">
        <v>11</v>
      </c>
      <c r="E500">
        <v>25</v>
      </c>
      <c r="F500">
        <v>10</v>
      </c>
      <c r="G500" t="s">
        <v>579</v>
      </c>
      <c r="H500">
        <v>275</v>
      </c>
    </row>
    <row r="501" spans="1:8" x14ac:dyDescent="0.25">
      <c r="A501" t="s">
        <v>510</v>
      </c>
      <c r="B501" t="s">
        <v>512</v>
      </c>
      <c r="C501" t="s">
        <v>568</v>
      </c>
      <c r="D501">
        <v>19</v>
      </c>
      <c r="E501">
        <v>353</v>
      </c>
      <c r="F501">
        <v>0</v>
      </c>
      <c r="G501" t="s">
        <v>580</v>
      </c>
      <c r="H501">
        <v>6707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I8" sqref="I8"/>
    </sheetView>
  </sheetViews>
  <sheetFormatPr defaultRowHeight="15" x14ac:dyDescent="0.25"/>
  <cols>
    <col min="1" max="1" width="16.5703125" customWidth="1"/>
    <col min="2" max="2" width="25.140625" bestFit="1" customWidth="1"/>
    <col min="3" max="3" width="11" customWidth="1"/>
    <col min="4" max="4" width="14.42578125" customWidth="1"/>
    <col min="5" max="5" width="18.7109375" customWidth="1"/>
    <col min="6" max="6" width="13.28515625" customWidth="1"/>
    <col min="7" max="7" width="13.140625" customWidth="1"/>
    <col min="8" max="8" width="13.7109375" customWidth="1"/>
    <col min="9" max="9" width="15.7109375" customWidth="1"/>
    <col min="10" max="10" width="18.85546875" customWidth="1"/>
    <col min="11" max="11" width="13.42578125" customWidth="1"/>
    <col min="12" max="12" width="22.28515625" customWidth="1"/>
    <col min="13" max="13" width="13.85546875" customWidth="1"/>
    <col min="14" max="14" width="21.42578125" customWidth="1"/>
    <col min="15" max="15" width="23.140625" customWidth="1"/>
    <col min="16" max="16" width="19.7109375" customWidth="1"/>
    <col min="17" max="17" width="11" bestFit="1" customWidth="1"/>
    <col min="18" max="18" width="18.7109375" bestFit="1" customWidth="1"/>
  </cols>
  <sheetData>
    <row r="1" spans="1:18" s="1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588</v>
      </c>
      <c r="O1" s="3" t="s">
        <v>587</v>
      </c>
      <c r="P1" s="3" t="s">
        <v>589</v>
      </c>
      <c r="Q1" s="3" t="s">
        <v>590</v>
      </c>
      <c r="R1" s="3" t="s">
        <v>591</v>
      </c>
    </row>
    <row r="2" spans="1:18" x14ac:dyDescent="0.25">
      <c r="A2" s="4">
        <v>1001</v>
      </c>
      <c r="B2" s="5" t="s">
        <v>13</v>
      </c>
      <c r="C2" s="5" t="s">
        <v>511</v>
      </c>
      <c r="D2" s="5" t="s">
        <v>515</v>
      </c>
      <c r="E2" s="5" t="s">
        <v>565</v>
      </c>
      <c r="F2" s="5" t="s">
        <v>575</v>
      </c>
      <c r="G2" s="4">
        <v>6</v>
      </c>
      <c r="H2" s="4">
        <v>2</v>
      </c>
      <c r="I2" s="4">
        <v>10</v>
      </c>
      <c r="J2" s="6">
        <v>45889</v>
      </c>
      <c r="K2" t="s">
        <v>578</v>
      </c>
      <c r="L2" s="5" t="s">
        <v>582</v>
      </c>
      <c r="M2" s="5" t="s">
        <v>585</v>
      </c>
      <c r="N2" s="7" t="str">
        <f>TEXT(J2,"YYYY")</f>
        <v>2025</v>
      </c>
      <c r="O2" s="7" t="str">
        <f>TEXT(J2,"mmm")</f>
        <v>Aug</v>
      </c>
      <c r="P2" s="7" t="str">
        <f>TEXT(J2,"ddd")</f>
        <v>Wed</v>
      </c>
      <c r="Q2" t="str">
        <f>IF(I2&gt;0,"Discounted","Full Price")</f>
        <v>Discounted</v>
      </c>
      <c r="R2" t="str">
        <f>IF(M2="Yes","Check Return Policy","No Action")</f>
        <v>No Action</v>
      </c>
    </row>
    <row r="3" spans="1:18" x14ac:dyDescent="0.25">
      <c r="A3" s="4">
        <v>1002</v>
      </c>
      <c r="B3" s="5" t="s">
        <v>14</v>
      </c>
      <c r="C3" s="5" t="s">
        <v>512</v>
      </c>
      <c r="D3" s="5" t="s">
        <v>516</v>
      </c>
      <c r="E3" s="5" t="s">
        <v>565</v>
      </c>
      <c r="F3" s="5" t="s">
        <v>575</v>
      </c>
      <c r="G3" s="4">
        <v>5</v>
      </c>
      <c r="H3" s="4">
        <v>7</v>
      </c>
      <c r="I3" s="4">
        <v>5</v>
      </c>
      <c r="J3" s="6">
        <v>45860</v>
      </c>
      <c r="K3" t="s">
        <v>579</v>
      </c>
      <c r="L3" s="5" t="s">
        <v>583</v>
      </c>
      <c r="M3" s="5" t="s">
        <v>586</v>
      </c>
      <c r="N3" s="7" t="str">
        <f t="shared" ref="N3:N66" si="0">TEXT(J3,"YYYY")</f>
        <v>2025</v>
      </c>
      <c r="O3" s="7" t="str">
        <f t="shared" ref="O3:O66" si="1">TEXT(J3,"mmm")</f>
        <v>Jul</v>
      </c>
      <c r="P3" s="7" t="str">
        <f t="shared" ref="P3:P66" si="2">TEXT(J3,"ddd")</f>
        <v>Tue</v>
      </c>
      <c r="Q3" t="str">
        <f t="shared" ref="Q3:Q66" si="3">IF(I3&gt;0,"Discounted","Full Price")</f>
        <v>Discounted</v>
      </c>
      <c r="R3" t="str">
        <f t="shared" ref="R3:R66" si="4">IF(M3="Yes","Check Return Policy","No Action")</f>
        <v>Check Return Policy</v>
      </c>
    </row>
    <row r="4" spans="1:18" x14ac:dyDescent="0.25">
      <c r="A4" s="4">
        <v>1003</v>
      </c>
      <c r="B4" s="5" t="s">
        <v>15</v>
      </c>
      <c r="C4" s="5" t="s">
        <v>513</v>
      </c>
      <c r="D4" s="5" t="s">
        <v>517</v>
      </c>
      <c r="E4" s="5" t="s">
        <v>566</v>
      </c>
      <c r="F4" s="5" t="s">
        <v>576</v>
      </c>
      <c r="G4" s="4">
        <v>18</v>
      </c>
      <c r="H4" s="4">
        <v>386</v>
      </c>
      <c r="I4" s="4">
        <v>15</v>
      </c>
      <c r="J4" s="6">
        <v>45911</v>
      </c>
      <c r="K4" t="s">
        <v>580</v>
      </c>
      <c r="L4" s="5" t="s">
        <v>583</v>
      </c>
      <c r="M4" s="5" t="s">
        <v>586</v>
      </c>
      <c r="N4" s="7" t="str">
        <f t="shared" si="0"/>
        <v>2025</v>
      </c>
      <c r="O4" s="7" t="str">
        <f t="shared" si="1"/>
        <v>Sep</v>
      </c>
      <c r="P4" s="7" t="str">
        <f t="shared" si="2"/>
        <v>Thu</v>
      </c>
      <c r="Q4" t="str">
        <f t="shared" si="3"/>
        <v>Discounted</v>
      </c>
      <c r="R4" t="str">
        <f t="shared" si="4"/>
        <v>Check Return Policy</v>
      </c>
    </row>
    <row r="5" spans="1:18" x14ac:dyDescent="0.25">
      <c r="A5" s="4">
        <v>1004</v>
      </c>
      <c r="B5" s="5" t="s">
        <v>16</v>
      </c>
      <c r="C5" s="5" t="s">
        <v>513</v>
      </c>
      <c r="D5" s="5" t="s">
        <v>517</v>
      </c>
      <c r="E5" s="5" t="s">
        <v>567</v>
      </c>
      <c r="F5" s="5" t="s">
        <v>576</v>
      </c>
      <c r="G5" s="4">
        <v>17</v>
      </c>
      <c r="H5" s="4">
        <v>973</v>
      </c>
      <c r="I5" s="4">
        <v>5</v>
      </c>
      <c r="J5" s="6">
        <v>45981</v>
      </c>
      <c r="K5" t="s">
        <v>579</v>
      </c>
      <c r="L5" s="5" t="s">
        <v>584</v>
      </c>
      <c r="M5" s="5" t="s">
        <v>585</v>
      </c>
      <c r="N5" s="7" t="str">
        <f t="shared" si="0"/>
        <v>2025</v>
      </c>
      <c r="O5" s="7" t="str">
        <f t="shared" si="1"/>
        <v>Nov</v>
      </c>
      <c r="P5" s="7" t="str">
        <f t="shared" si="2"/>
        <v>Thu</v>
      </c>
      <c r="Q5" t="str">
        <f t="shared" si="3"/>
        <v>Discounted</v>
      </c>
      <c r="R5" t="str">
        <f t="shared" si="4"/>
        <v>No Action</v>
      </c>
    </row>
    <row r="6" spans="1:18" x14ac:dyDescent="0.25">
      <c r="A6" s="4">
        <v>1005</v>
      </c>
      <c r="B6" s="5" t="s">
        <v>17</v>
      </c>
      <c r="C6" s="5" t="s">
        <v>514</v>
      </c>
      <c r="D6" s="5" t="s">
        <v>518</v>
      </c>
      <c r="E6" s="5" t="s">
        <v>568</v>
      </c>
      <c r="F6" s="5" t="s">
        <v>577</v>
      </c>
      <c r="G6" s="4">
        <v>8</v>
      </c>
      <c r="H6" s="4">
        <v>211</v>
      </c>
      <c r="I6" s="4">
        <v>0</v>
      </c>
      <c r="J6" s="6">
        <v>45735</v>
      </c>
      <c r="K6" t="s">
        <v>581</v>
      </c>
      <c r="L6" s="5" t="s">
        <v>583</v>
      </c>
      <c r="M6" s="5" t="s">
        <v>585</v>
      </c>
      <c r="N6" s="7" t="str">
        <f t="shared" si="0"/>
        <v>2025</v>
      </c>
      <c r="O6" s="7" t="str">
        <f t="shared" si="1"/>
        <v>Mar</v>
      </c>
      <c r="P6" s="7" t="str">
        <f t="shared" si="2"/>
        <v>Wed</v>
      </c>
      <c r="Q6" t="str">
        <f t="shared" si="3"/>
        <v>Full Price</v>
      </c>
      <c r="R6" t="str">
        <f t="shared" si="4"/>
        <v>No Action</v>
      </c>
    </row>
    <row r="7" spans="1:18" x14ac:dyDescent="0.25">
      <c r="A7" s="4">
        <v>1006</v>
      </c>
      <c r="B7" s="5" t="s">
        <v>18</v>
      </c>
      <c r="C7" s="5" t="s">
        <v>514</v>
      </c>
      <c r="D7" s="5" t="s">
        <v>519</v>
      </c>
      <c r="E7" s="5" t="s">
        <v>565</v>
      </c>
      <c r="F7" s="5" t="s">
        <v>575</v>
      </c>
      <c r="G7" s="4">
        <v>2</v>
      </c>
      <c r="H7" s="4">
        <v>3</v>
      </c>
      <c r="I7" s="4">
        <v>5</v>
      </c>
      <c r="J7" s="6">
        <v>45711</v>
      </c>
      <c r="K7" t="s">
        <v>581</v>
      </c>
      <c r="L7" s="5" t="s">
        <v>582</v>
      </c>
      <c r="M7" s="5" t="s">
        <v>586</v>
      </c>
      <c r="N7" s="7" t="str">
        <f t="shared" si="0"/>
        <v>2025</v>
      </c>
      <c r="O7" s="7" t="str">
        <f t="shared" si="1"/>
        <v>Feb</v>
      </c>
      <c r="P7" s="7" t="str">
        <f t="shared" si="2"/>
        <v>Sun</v>
      </c>
      <c r="Q7" t="str">
        <f t="shared" si="3"/>
        <v>Discounted</v>
      </c>
      <c r="R7" t="str">
        <f t="shared" si="4"/>
        <v>Check Return Policy</v>
      </c>
    </row>
    <row r="8" spans="1:18" x14ac:dyDescent="0.25">
      <c r="A8" s="4">
        <v>1007</v>
      </c>
      <c r="B8" s="5" t="s">
        <v>19</v>
      </c>
      <c r="C8" s="5" t="s">
        <v>513</v>
      </c>
      <c r="D8" s="5" t="s">
        <v>518</v>
      </c>
      <c r="E8" s="5" t="s">
        <v>569</v>
      </c>
      <c r="F8" s="5" t="s">
        <v>576</v>
      </c>
      <c r="G8" s="4">
        <v>11</v>
      </c>
      <c r="H8" s="4">
        <v>655</v>
      </c>
      <c r="I8" s="4">
        <v>10</v>
      </c>
      <c r="J8" s="6">
        <v>45759</v>
      </c>
      <c r="K8" t="s">
        <v>580</v>
      </c>
      <c r="L8" s="5" t="s">
        <v>582</v>
      </c>
      <c r="M8" s="5" t="s">
        <v>585</v>
      </c>
      <c r="N8" s="7" t="str">
        <f t="shared" si="0"/>
        <v>2025</v>
      </c>
      <c r="O8" s="7" t="str">
        <f t="shared" si="1"/>
        <v>Apr</v>
      </c>
      <c r="P8" s="7" t="str">
        <f t="shared" si="2"/>
        <v>Sat</v>
      </c>
      <c r="Q8" t="str">
        <f t="shared" si="3"/>
        <v>Discounted</v>
      </c>
      <c r="R8" t="str">
        <f t="shared" si="4"/>
        <v>No Action</v>
      </c>
    </row>
    <row r="9" spans="1:18" x14ac:dyDescent="0.25">
      <c r="A9" s="4">
        <v>1008</v>
      </c>
      <c r="B9" s="5" t="s">
        <v>20</v>
      </c>
      <c r="C9" s="5" t="s">
        <v>514</v>
      </c>
      <c r="D9" s="5" t="s">
        <v>520</v>
      </c>
      <c r="E9" s="5" t="s">
        <v>568</v>
      </c>
      <c r="F9" s="5" t="s">
        <v>577</v>
      </c>
      <c r="G9" s="4">
        <v>3</v>
      </c>
      <c r="H9" s="4">
        <v>255</v>
      </c>
      <c r="I9" s="4">
        <v>15</v>
      </c>
      <c r="J9" s="6">
        <v>45964</v>
      </c>
      <c r="K9" t="s">
        <v>581</v>
      </c>
      <c r="L9" s="5" t="s">
        <v>584</v>
      </c>
      <c r="M9" s="5" t="s">
        <v>586</v>
      </c>
      <c r="N9" s="7" t="str">
        <f t="shared" si="0"/>
        <v>2025</v>
      </c>
      <c r="O9" s="7" t="str">
        <f t="shared" si="1"/>
        <v>Nov</v>
      </c>
      <c r="P9" s="7" t="str">
        <f t="shared" si="2"/>
        <v>Mon</v>
      </c>
      <c r="Q9" t="str">
        <f t="shared" si="3"/>
        <v>Discounted</v>
      </c>
      <c r="R9" t="str">
        <f t="shared" si="4"/>
        <v>Check Return Policy</v>
      </c>
    </row>
    <row r="10" spans="1:18" x14ac:dyDescent="0.25">
      <c r="A10" s="4">
        <v>1009</v>
      </c>
      <c r="B10" s="5" t="s">
        <v>21</v>
      </c>
      <c r="C10" s="5" t="s">
        <v>512</v>
      </c>
      <c r="D10" s="5" t="s">
        <v>521</v>
      </c>
      <c r="E10" s="5" t="s">
        <v>568</v>
      </c>
      <c r="F10" s="5" t="s">
        <v>577</v>
      </c>
      <c r="G10" s="4">
        <v>3</v>
      </c>
      <c r="H10" s="4">
        <v>405</v>
      </c>
      <c r="I10" s="4">
        <v>15</v>
      </c>
      <c r="J10" s="6">
        <v>45721</v>
      </c>
      <c r="K10" t="s">
        <v>579</v>
      </c>
      <c r="L10" s="5" t="s">
        <v>583</v>
      </c>
      <c r="M10" s="5" t="s">
        <v>585</v>
      </c>
      <c r="N10" s="7" t="str">
        <f t="shared" si="0"/>
        <v>2025</v>
      </c>
      <c r="O10" s="7" t="str">
        <f t="shared" si="1"/>
        <v>Mar</v>
      </c>
      <c r="P10" s="7" t="str">
        <f t="shared" si="2"/>
        <v>Wed</v>
      </c>
      <c r="Q10" t="str">
        <f t="shared" si="3"/>
        <v>Discounted</v>
      </c>
      <c r="R10" t="str">
        <f t="shared" si="4"/>
        <v>No Action</v>
      </c>
    </row>
    <row r="11" spans="1:18" x14ac:dyDescent="0.25">
      <c r="A11" s="4">
        <v>1010</v>
      </c>
      <c r="B11" s="5" t="s">
        <v>22</v>
      </c>
      <c r="C11" s="5" t="s">
        <v>514</v>
      </c>
      <c r="D11" s="5" t="s">
        <v>522</v>
      </c>
      <c r="E11" s="5" t="s">
        <v>570</v>
      </c>
      <c r="F11" s="5" t="s">
        <v>575</v>
      </c>
      <c r="G11" s="4">
        <v>3</v>
      </c>
      <c r="H11" s="4">
        <v>4</v>
      </c>
      <c r="I11" s="4">
        <v>10</v>
      </c>
      <c r="J11" s="6">
        <v>45873</v>
      </c>
      <c r="K11" t="s">
        <v>581</v>
      </c>
      <c r="L11" s="5" t="s">
        <v>582</v>
      </c>
      <c r="M11" s="5" t="s">
        <v>585</v>
      </c>
      <c r="N11" s="7" t="str">
        <f t="shared" si="0"/>
        <v>2025</v>
      </c>
      <c r="O11" s="7" t="str">
        <f t="shared" si="1"/>
        <v>Aug</v>
      </c>
      <c r="P11" s="7" t="str">
        <f t="shared" si="2"/>
        <v>Mon</v>
      </c>
      <c r="Q11" t="str">
        <f t="shared" si="3"/>
        <v>Discounted</v>
      </c>
      <c r="R11" t="str">
        <f t="shared" si="4"/>
        <v>No Action</v>
      </c>
    </row>
    <row r="12" spans="1:18" x14ac:dyDescent="0.25">
      <c r="A12" s="4">
        <v>1011</v>
      </c>
      <c r="B12" s="5" t="s">
        <v>23</v>
      </c>
      <c r="C12" s="5" t="s">
        <v>513</v>
      </c>
      <c r="D12" s="5" t="s">
        <v>523</v>
      </c>
      <c r="E12" s="5" t="s">
        <v>569</v>
      </c>
      <c r="F12" s="5" t="s">
        <v>576</v>
      </c>
      <c r="G12" s="4">
        <v>3</v>
      </c>
      <c r="H12" s="4">
        <v>642</v>
      </c>
      <c r="I12" s="4">
        <v>5</v>
      </c>
      <c r="J12" s="6">
        <v>45839</v>
      </c>
      <c r="K12" t="s">
        <v>581</v>
      </c>
      <c r="L12" s="5" t="s">
        <v>582</v>
      </c>
      <c r="M12" s="5" t="s">
        <v>586</v>
      </c>
      <c r="N12" s="7" t="str">
        <f t="shared" si="0"/>
        <v>2025</v>
      </c>
      <c r="O12" s="7" t="str">
        <f t="shared" si="1"/>
        <v>Jul</v>
      </c>
      <c r="P12" s="7" t="str">
        <f t="shared" si="2"/>
        <v>Tue</v>
      </c>
      <c r="Q12" t="str">
        <f t="shared" si="3"/>
        <v>Discounted</v>
      </c>
      <c r="R12" t="str">
        <f t="shared" si="4"/>
        <v>Check Return Policy</v>
      </c>
    </row>
    <row r="13" spans="1:18" x14ac:dyDescent="0.25">
      <c r="A13" s="4">
        <v>1012</v>
      </c>
      <c r="B13" s="5" t="s">
        <v>24</v>
      </c>
      <c r="C13" s="5" t="s">
        <v>513</v>
      </c>
      <c r="D13" s="5" t="s">
        <v>524</v>
      </c>
      <c r="E13" s="5" t="s">
        <v>571</v>
      </c>
      <c r="F13" s="5" t="s">
        <v>577</v>
      </c>
      <c r="G13" s="4">
        <v>15</v>
      </c>
      <c r="H13" s="4">
        <v>104</v>
      </c>
      <c r="I13" s="4">
        <v>15</v>
      </c>
      <c r="J13" s="6">
        <v>46010</v>
      </c>
      <c r="K13" t="s">
        <v>578</v>
      </c>
      <c r="L13" s="5" t="s">
        <v>584</v>
      </c>
      <c r="M13" s="5" t="s">
        <v>585</v>
      </c>
      <c r="N13" s="7" t="str">
        <f t="shared" si="0"/>
        <v>2025</v>
      </c>
      <c r="O13" s="7" t="str">
        <f t="shared" si="1"/>
        <v>Dec</v>
      </c>
      <c r="P13" s="7" t="str">
        <f t="shared" si="2"/>
        <v>Fri</v>
      </c>
      <c r="Q13" t="str">
        <f t="shared" si="3"/>
        <v>Discounted</v>
      </c>
      <c r="R13" t="str">
        <f t="shared" si="4"/>
        <v>No Action</v>
      </c>
    </row>
    <row r="14" spans="1:18" x14ac:dyDescent="0.25">
      <c r="A14" s="4">
        <v>1013</v>
      </c>
      <c r="B14" s="5" t="s">
        <v>25</v>
      </c>
      <c r="C14" s="5" t="s">
        <v>513</v>
      </c>
      <c r="D14" s="5" t="s">
        <v>525</v>
      </c>
      <c r="E14" s="5" t="s">
        <v>565</v>
      </c>
      <c r="F14" s="5" t="s">
        <v>575</v>
      </c>
      <c r="G14" s="4">
        <v>5</v>
      </c>
      <c r="H14" s="4">
        <v>3</v>
      </c>
      <c r="I14" s="4">
        <v>0</v>
      </c>
      <c r="J14" s="6">
        <v>45793</v>
      </c>
      <c r="K14" t="s">
        <v>581</v>
      </c>
      <c r="L14" s="5" t="s">
        <v>582</v>
      </c>
      <c r="M14" s="5" t="s">
        <v>586</v>
      </c>
      <c r="N14" s="7" t="str">
        <f t="shared" si="0"/>
        <v>2025</v>
      </c>
      <c r="O14" s="7" t="str">
        <f t="shared" si="1"/>
        <v>May</v>
      </c>
      <c r="P14" s="7" t="str">
        <f t="shared" si="2"/>
        <v>Fri</v>
      </c>
      <c r="Q14" t="str">
        <f t="shared" si="3"/>
        <v>Full Price</v>
      </c>
      <c r="R14" t="str">
        <f t="shared" si="4"/>
        <v>Check Return Policy</v>
      </c>
    </row>
    <row r="15" spans="1:18" x14ac:dyDescent="0.25">
      <c r="A15" s="4">
        <v>1014</v>
      </c>
      <c r="B15" s="5" t="s">
        <v>26</v>
      </c>
      <c r="C15" s="5" t="s">
        <v>514</v>
      </c>
      <c r="D15" s="5" t="s">
        <v>526</v>
      </c>
      <c r="E15" s="5" t="s">
        <v>565</v>
      </c>
      <c r="F15" s="5" t="s">
        <v>575</v>
      </c>
      <c r="G15" s="4">
        <v>16</v>
      </c>
      <c r="H15" s="4">
        <v>1</v>
      </c>
      <c r="I15" s="4">
        <v>15</v>
      </c>
      <c r="J15" s="6">
        <v>45838</v>
      </c>
      <c r="K15" t="s">
        <v>580</v>
      </c>
      <c r="L15" s="5" t="s">
        <v>582</v>
      </c>
      <c r="M15" s="5" t="s">
        <v>586</v>
      </c>
      <c r="N15" s="7" t="str">
        <f t="shared" si="0"/>
        <v>2025</v>
      </c>
      <c r="O15" s="7" t="str">
        <f t="shared" si="1"/>
        <v>Jun</v>
      </c>
      <c r="P15" s="7" t="str">
        <f t="shared" si="2"/>
        <v>Mon</v>
      </c>
      <c r="Q15" t="str">
        <f t="shared" si="3"/>
        <v>Discounted</v>
      </c>
      <c r="R15" t="str">
        <f t="shared" si="4"/>
        <v>Check Return Policy</v>
      </c>
    </row>
    <row r="16" spans="1:18" x14ac:dyDescent="0.25">
      <c r="A16" s="4">
        <v>1015</v>
      </c>
      <c r="B16" s="5" t="s">
        <v>27</v>
      </c>
      <c r="C16" s="5" t="s">
        <v>512</v>
      </c>
      <c r="D16" s="5" t="s">
        <v>526</v>
      </c>
      <c r="E16" s="5" t="s">
        <v>569</v>
      </c>
      <c r="F16" s="5" t="s">
        <v>576</v>
      </c>
      <c r="G16" s="4">
        <v>8</v>
      </c>
      <c r="H16" s="4">
        <v>491</v>
      </c>
      <c r="I16" s="4">
        <v>5</v>
      </c>
      <c r="J16" s="6">
        <v>45836</v>
      </c>
      <c r="K16" t="s">
        <v>579</v>
      </c>
      <c r="L16" s="5" t="s">
        <v>583</v>
      </c>
      <c r="M16" s="5" t="s">
        <v>585</v>
      </c>
      <c r="N16" s="7" t="str">
        <f t="shared" si="0"/>
        <v>2025</v>
      </c>
      <c r="O16" s="7" t="str">
        <f t="shared" si="1"/>
        <v>Jun</v>
      </c>
      <c r="P16" s="7" t="str">
        <f t="shared" si="2"/>
        <v>Sat</v>
      </c>
      <c r="Q16" t="str">
        <f t="shared" si="3"/>
        <v>Discounted</v>
      </c>
      <c r="R16" t="str">
        <f t="shared" si="4"/>
        <v>No Action</v>
      </c>
    </row>
    <row r="17" spans="1:18" x14ac:dyDescent="0.25">
      <c r="A17" s="4">
        <v>1016</v>
      </c>
      <c r="B17" s="5" t="s">
        <v>28</v>
      </c>
      <c r="C17" s="5" t="s">
        <v>511</v>
      </c>
      <c r="D17" s="5" t="s">
        <v>527</v>
      </c>
      <c r="E17" s="5" t="s">
        <v>565</v>
      </c>
      <c r="F17" s="5" t="s">
        <v>575</v>
      </c>
      <c r="G17" s="4">
        <v>12</v>
      </c>
      <c r="H17" s="4">
        <v>9</v>
      </c>
      <c r="I17" s="4">
        <v>0</v>
      </c>
      <c r="J17" s="6">
        <v>46008</v>
      </c>
      <c r="K17" t="s">
        <v>581</v>
      </c>
      <c r="L17" s="5" t="s">
        <v>582</v>
      </c>
      <c r="M17" s="5" t="s">
        <v>585</v>
      </c>
      <c r="N17" s="7" t="str">
        <f t="shared" si="0"/>
        <v>2025</v>
      </c>
      <c r="O17" s="7" t="str">
        <f t="shared" si="1"/>
        <v>Dec</v>
      </c>
      <c r="P17" s="7" t="str">
        <f t="shared" si="2"/>
        <v>Wed</v>
      </c>
      <c r="Q17" t="str">
        <f t="shared" si="3"/>
        <v>Full Price</v>
      </c>
      <c r="R17" t="str">
        <f t="shared" si="4"/>
        <v>No Action</v>
      </c>
    </row>
    <row r="18" spans="1:18" x14ac:dyDescent="0.25">
      <c r="A18" s="4">
        <v>1017</v>
      </c>
      <c r="B18" s="5" t="s">
        <v>29</v>
      </c>
      <c r="C18" s="5" t="s">
        <v>511</v>
      </c>
      <c r="D18" s="5" t="s">
        <v>528</v>
      </c>
      <c r="E18" s="5" t="s">
        <v>568</v>
      </c>
      <c r="F18" s="5" t="s">
        <v>577</v>
      </c>
      <c r="G18" s="4">
        <v>13</v>
      </c>
      <c r="H18" s="4">
        <v>178</v>
      </c>
      <c r="I18" s="4">
        <v>10</v>
      </c>
      <c r="J18" s="6">
        <v>45989</v>
      </c>
      <c r="K18" t="s">
        <v>579</v>
      </c>
      <c r="L18" s="5" t="s">
        <v>582</v>
      </c>
      <c r="M18" s="5" t="s">
        <v>585</v>
      </c>
      <c r="N18" s="7" t="str">
        <f t="shared" si="0"/>
        <v>2025</v>
      </c>
      <c r="O18" s="7" t="str">
        <f t="shared" si="1"/>
        <v>Nov</v>
      </c>
      <c r="P18" s="7" t="str">
        <f t="shared" si="2"/>
        <v>Fri</v>
      </c>
      <c r="Q18" t="str">
        <f t="shared" si="3"/>
        <v>Discounted</v>
      </c>
      <c r="R18" t="str">
        <f t="shared" si="4"/>
        <v>No Action</v>
      </c>
    </row>
    <row r="19" spans="1:18" x14ac:dyDescent="0.25">
      <c r="A19" s="4">
        <v>1018</v>
      </c>
      <c r="B19" s="5" t="s">
        <v>30</v>
      </c>
      <c r="C19" s="5" t="s">
        <v>511</v>
      </c>
      <c r="D19" s="5" t="s">
        <v>529</v>
      </c>
      <c r="E19" s="5" t="s">
        <v>566</v>
      </c>
      <c r="F19" s="5" t="s">
        <v>576</v>
      </c>
      <c r="G19" s="4">
        <v>3</v>
      </c>
      <c r="H19" s="4">
        <v>218</v>
      </c>
      <c r="I19" s="4">
        <v>0</v>
      </c>
      <c r="J19" s="6">
        <v>45658</v>
      </c>
      <c r="K19" t="s">
        <v>578</v>
      </c>
      <c r="L19" s="5" t="s">
        <v>583</v>
      </c>
      <c r="M19" s="5" t="s">
        <v>586</v>
      </c>
      <c r="N19" s="7" t="str">
        <f t="shared" si="0"/>
        <v>2025</v>
      </c>
      <c r="O19" s="7" t="str">
        <f t="shared" si="1"/>
        <v>Jan</v>
      </c>
      <c r="P19" s="7" t="str">
        <f t="shared" si="2"/>
        <v>Wed</v>
      </c>
      <c r="Q19" t="str">
        <f t="shared" si="3"/>
        <v>Full Price</v>
      </c>
      <c r="R19" t="str">
        <f t="shared" si="4"/>
        <v>Check Return Policy</v>
      </c>
    </row>
    <row r="20" spans="1:18" x14ac:dyDescent="0.25">
      <c r="A20" s="4">
        <v>1019</v>
      </c>
      <c r="B20" s="5" t="s">
        <v>31</v>
      </c>
      <c r="C20" s="5" t="s">
        <v>512</v>
      </c>
      <c r="D20" s="5" t="s">
        <v>530</v>
      </c>
      <c r="E20" s="5" t="s">
        <v>572</v>
      </c>
      <c r="F20" s="5" t="s">
        <v>577</v>
      </c>
      <c r="G20" s="4">
        <v>12</v>
      </c>
      <c r="H20" s="4">
        <v>277</v>
      </c>
      <c r="I20" s="4">
        <v>0</v>
      </c>
      <c r="J20" s="6">
        <v>45867</v>
      </c>
      <c r="K20" t="s">
        <v>579</v>
      </c>
      <c r="L20" s="5" t="s">
        <v>583</v>
      </c>
      <c r="M20" s="5" t="s">
        <v>585</v>
      </c>
      <c r="N20" s="7" t="str">
        <f t="shared" si="0"/>
        <v>2025</v>
      </c>
      <c r="O20" s="7" t="str">
        <f t="shared" si="1"/>
        <v>Jul</v>
      </c>
      <c r="P20" s="7" t="str">
        <f t="shared" si="2"/>
        <v>Tue</v>
      </c>
      <c r="Q20" t="str">
        <f t="shared" si="3"/>
        <v>Full Price</v>
      </c>
      <c r="R20" t="str">
        <f t="shared" si="4"/>
        <v>No Action</v>
      </c>
    </row>
    <row r="21" spans="1:18" x14ac:dyDescent="0.25">
      <c r="A21" s="4">
        <v>1020</v>
      </c>
      <c r="B21" s="5" t="s">
        <v>32</v>
      </c>
      <c r="C21" s="5" t="s">
        <v>511</v>
      </c>
      <c r="D21" s="5" t="s">
        <v>531</v>
      </c>
      <c r="E21" s="5" t="s">
        <v>566</v>
      </c>
      <c r="F21" s="5" t="s">
        <v>576</v>
      </c>
      <c r="G21" s="4">
        <v>10</v>
      </c>
      <c r="H21" s="4">
        <v>288</v>
      </c>
      <c r="I21" s="4">
        <v>15</v>
      </c>
      <c r="J21" s="6">
        <v>45906</v>
      </c>
      <c r="K21" t="s">
        <v>580</v>
      </c>
      <c r="L21" s="5" t="s">
        <v>584</v>
      </c>
      <c r="M21" s="5" t="s">
        <v>585</v>
      </c>
      <c r="N21" s="7" t="str">
        <f t="shared" si="0"/>
        <v>2025</v>
      </c>
      <c r="O21" s="7" t="str">
        <f t="shared" si="1"/>
        <v>Sep</v>
      </c>
      <c r="P21" s="7" t="str">
        <f t="shared" si="2"/>
        <v>Sat</v>
      </c>
      <c r="Q21" t="str">
        <f t="shared" si="3"/>
        <v>Discounted</v>
      </c>
      <c r="R21" t="str">
        <f t="shared" si="4"/>
        <v>No Action</v>
      </c>
    </row>
    <row r="22" spans="1:18" x14ac:dyDescent="0.25">
      <c r="A22" s="4">
        <v>1021</v>
      </c>
      <c r="B22" s="5" t="s">
        <v>33</v>
      </c>
      <c r="C22" s="5" t="s">
        <v>513</v>
      </c>
      <c r="D22" s="5" t="s">
        <v>532</v>
      </c>
      <c r="E22" s="5" t="s">
        <v>568</v>
      </c>
      <c r="F22" s="5" t="s">
        <v>577</v>
      </c>
      <c r="G22" s="4">
        <v>4</v>
      </c>
      <c r="H22" s="4">
        <v>150</v>
      </c>
      <c r="I22" s="4">
        <v>5</v>
      </c>
      <c r="J22" s="6">
        <v>45748</v>
      </c>
      <c r="K22" t="s">
        <v>579</v>
      </c>
      <c r="L22" s="5" t="s">
        <v>584</v>
      </c>
      <c r="M22" s="5" t="s">
        <v>585</v>
      </c>
      <c r="N22" s="7" t="str">
        <f t="shared" si="0"/>
        <v>2025</v>
      </c>
      <c r="O22" s="7" t="str">
        <f t="shared" si="1"/>
        <v>Apr</v>
      </c>
      <c r="P22" s="7" t="str">
        <f t="shared" si="2"/>
        <v>Tue</v>
      </c>
      <c r="Q22" t="str">
        <f t="shared" si="3"/>
        <v>Discounted</v>
      </c>
      <c r="R22" t="str">
        <f t="shared" si="4"/>
        <v>No Action</v>
      </c>
    </row>
    <row r="23" spans="1:18" x14ac:dyDescent="0.25">
      <c r="A23" s="4">
        <v>1022</v>
      </c>
      <c r="B23" s="5" t="s">
        <v>34</v>
      </c>
      <c r="C23" s="5" t="s">
        <v>511</v>
      </c>
      <c r="D23" s="5" t="s">
        <v>533</v>
      </c>
      <c r="E23" s="5" t="s">
        <v>568</v>
      </c>
      <c r="F23" s="5" t="s">
        <v>577</v>
      </c>
      <c r="G23" s="4">
        <v>10</v>
      </c>
      <c r="H23" s="4">
        <v>436</v>
      </c>
      <c r="I23" s="4">
        <v>15</v>
      </c>
      <c r="J23" s="6">
        <v>45741</v>
      </c>
      <c r="K23" t="s">
        <v>581</v>
      </c>
      <c r="L23" s="5" t="s">
        <v>583</v>
      </c>
      <c r="M23" s="5" t="s">
        <v>586</v>
      </c>
      <c r="N23" s="7" t="str">
        <f t="shared" si="0"/>
        <v>2025</v>
      </c>
      <c r="O23" s="7" t="str">
        <f t="shared" si="1"/>
        <v>Mar</v>
      </c>
      <c r="P23" s="7" t="str">
        <f t="shared" si="2"/>
        <v>Tue</v>
      </c>
      <c r="Q23" t="str">
        <f t="shared" si="3"/>
        <v>Discounted</v>
      </c>
      <c r="R23" t="str">
        <f t="shared" si="4"/>
        <v>Check Return Policy</v>
      </c>
    </row>
    <row r="24" spans="1:18" x14ac:dyDescent="0.25">
      <c r="A24" s="4">
        <v>1023</v>
      </c>
      <c r="B24" s="5" t="s">
        <v>35</v>
      </c>
      <c r="C24" s="5" t="s">
        <v>514</v>
      </c>
      <c r="D24" s="5" t="s">
        <v>533</v>
      </c>
      <c r="E24" s="5" t="s">
        <v>573</v>
      </c>
      <c r="F24" s="5" t="s">
        <v>576</v>
      </c>
      <c r="G24" s="4">
        <v>8</v>
      </c>
      <c r="H24" s="4">
        <v>294</v>
      </c>
      <c r="I24" s="4">
        <v>5</v>
      </c>
      <c r="J24" s="6">
        <v>45842</v>
      </c>
      <c r="K24" t="s">
        <v>581</v>
      </c>
      <c r="L24" s="5" t="s">
        <v>583</v>
      </c>
      <c r="M24" s="5" t="s">
        <v>585</v>
      </c>
      <c r="N24" s="7" t="str">
        <f t="shared" si="0"/>
        <v>2025</v>
      </c>
      <c r="O24" s="7" t="str">
        <f t="shared" si="1"/>
        <v>Jul</v>
      </c>
      <c r="P24" s="7" t="str">
        <f t="shared" si="2"/>
        <v>Fri</v>
      </c>
      <c r="Q24" t="str">
        <f t="shared" si="3"/>
        <v>Discounted</v>
      </c>
      <c r="R24" t="str">
        <f t="shared" si="4"/>
        <v>No Action</v>
      </c>
    </row>
    <row r="25" spans="1:18" x14ac:dyDescent="0.25">
      <c r="A25" s="4">
        <v>1024</v>
      </c>
      <c r="B25" s="5" t="s">
        <v>36</v>
      </c>
      <c r="C25" s="5" t="s">
        <v>512</v>
      </c>
      <c r="D25" s="5" t="s">
        <v>534</v>
      </c>
      <c r="E25" s="5" t="s">
        <v>574</v>
      </c>
      <c r="F25" s="5" t="s">
        <v>576</v>
      </c>
      <c r="G25" s="4">
        <v>19</v>
      </c>
      <c r="H25" s="4">
        <v>58</v>
      </c>
      <c r="I25" s="4">
        <v>5</v>
      </c>
      <c r="J25" s="6">
        <v>45978</v>
      </c>
      <c r="K25" t="s">
        <v>581</v>
      </c>
      <c r="L25" s="5" t="s">
        <v>584</v>
      </c>
      <c r="M25" s="5" t="s">
        <v>586</v>
      </c>
      <c r="N25" s="7" t="str">
        <f t="shared" si="0"/>
        <v>2025</v>
      </c>
      <c r="O25" s="7" t="str">
        <f t="shared" si="1"/>
        <v>Nov</v>
      </c>
      <c r="P25" s="7" t="str">
        <f t="shared" si="2"/>
        <v>Mon</v>
      </c>
      <c r="Q25" t="str">
        <f t="shared" si="3"/>
        <v>Discounted</v>
      </c>
      <c r="R25" t="str">
        <f t="shared" si="4"/>
        <v>Check Return Policy</v>
      </c>
    </row>
    <row r="26" spans="1:18" x14ac:dyDescent="0.25">
      <c r="A26" s="4">
        <v>1025</v>
      </c>
      <c r="B26" s="5" t="s">
        <v>37</v>
      </c>
      <c r="C26" s="5" t="s">
        <v>511</v>
      </c>
      <c r="D26" s="5" t="s">
        <v>517</v>
      </c>
      <c r="E26" s="5" t="s">
        <v>567</v>
      </c>
      <c r="F26" s="5" t="s">
        <v>576</v>
      </c>
      <c r="G26" s="4">
        <v>19</v>
      </c>
      <c r="H26" s="4">
        <v>1066</v>
      </c>
      <c r="I26" s="4">
        <v>10</v>
      </c>
      <c r="J26" s="6">
        <v>45986</v>
      </c>
      <c r="K26" t="s">
        <v>581</v>
      </c>
      <c r="L26" s="5" t="s">
        <v>582</v>
      </c>
      <c r="M26" s="5" t="s">
        <v>585</v>
      </c>
      <c r="N26" s="7" t="str">
        <f t="shared" si="0"/>
        <v>2025</v>
      </c>
      <c r="O26" s="7" t="str">
        <f t="shared" si="1"/>
        <v>Nov</v>
      </c>
      <c r="P26" s="7" t="str">
        <f t="shared" si="2"/>
        <v>Tue</v>
      </c>
      <c r="Q26" t="str">
        <f t="shared" si="3"/>
        <v>Discounted</v>
      </c>
      <c r="R26" t="str">
        <f t="shared" si="4"/>
        <v>No Action</v>
      </c>
    </row>
    <row r="27" spans="1:18" x14ac:dyDescent="0.25">
      <c r="A27" s="4">
        <v>1026</v>
      </c>
      <c r="B27" s="5" t="s">
        <v>38</v>
      </c>
      <c r="C27" s="5" t="s">
        <v>511</v>
      </c>
      <c r="D27" s="5" t="s">
        <v>535</v>
      </c>
      <c r="E27" s="5" t="s">
        <v>569</v>
      </c>
      <c r="F27" s="5" t="s">
        <v>576</v>
      </c>
      <c r="G27" s="4">
        <v>4</v>
      </c>
      <c r="H27" s="4">
        <v>752</v>
      </c>
      <c r="I27" s="4">
        <v>15</v>
      </c>
      <c r="J27" s="6">
        <v>45809</v>
      </c>
      <c r="K27" t="s">
        <v>581</v>
      </c>
      <c r="L27" s="5" t="s">
        <v>582</v>
      </c>
      <c r="M27" s="5" t="s">
        <v>586</v>
      </c>
      <c r="N27" s="7" t="str">
        <f t="shared" si="0"/>
        <v>2025</v>
      </c>
      <c r="O27" s="7" t="str">
        <f t="shared" si="1"/>
        <v>Jun</v>
      </c>
      <c r="P27" s="7" t="str">
        <f t="shared" si="2"/>
        <v>Sun</v>
      </c>
      <c r="Q27" t="str">
        <f t="shared" si="3"/>
        <v>Discounted</v>
      </c>
      <c r="R27" t="str">
        <f t="shared" si="4"/>
        <v>Check Return Policy</v>
      </c>
    </row>
    <row r="28" spans="1:18" x14ac:dyDescent="0.25">
      <c r="A28" s="4">
        <v>1027</v>
      </c>
      <c r="B28" s="5" t="s">
        <v>39</v>
      </c>
      <c r="C28" s="5" t="s">
        <v>514</v>
      </c>
      <c r="D28" s="5" t="s">
        <v>536</v>
      </c>
      <c r="E28" s="5" t="s">
        <v>568</v>
      </c>
      <c r="F28" s="5" t="s">
        <v>577</v>
      </c>
      <c r="G28" s="4">
        <v>15</v>
      </c>
      <c r="H28" s="4">
        <v>427</v>
      </c>
      <c r="I28" s="4">
        <v>10</v>
      </c>
      <c r="J28" s="6">
        <v>45848</v>
      </c>
      <c r="K28" t="s">
        <v>578</v>
      </c>
      <c r="L28" s="5" t="s">
        <v>582</v>
      </c>
      <c r="M28" s="5" t="s">
        <v>586</v>
      </c>
      <c r="N28" s="7" t="str">
        <f t="shared" si="0"/>
        <v>2025</v>
      </c>
      <c r="O28" s="7" t="str">
        <f t="shared" si="1"/>
        <v>Jul</v>
      </c>
      <c r="P28" s="7" t="str">
        <f t="shared" si="2"/>
        <v>Thu</v>
      </c>
      <c r="Q28" t="str">
        <f t="shared" si="3"/>
        <v>Discounted</v>
      </c>
      <c r="R28" t="str">
        <f t="shared" si="4"/>
        <v>Check Return Policy</v>
      </c>
    </row>
    <row r="29" spans="1:18" x14ac:dyDescent="0.25">
      <c r="A29" s="4">
        <v>1028</v>
      </c>
      <c r="B29" s="5" t="s">
        <v>40</v>
      </c>
      <c r="C29" s="5" t="s">
        <v>513</v>
      </c>
      <c r="D29" s="5" t="s">
        <v>537</v>
      </c>
      <c r="E29" s="5" t="s">
        <v>572</v>
      </c>
      <c r="F29" s="5" t="s">
        <v>577</v>
      </c>
      <c r="G29" s="4">
        <v>17</v>
      </c>
      <c r="H29" s="4">
        <v>116</v>
      </c>
      <c r="I29" s="4">
        <v>10</v>
      </c>
      <c r="J29" s="6">
        <v>45922</v>
      </c>
      <c r="K29" t="s">
        <v>579</v>
      </c>
      <c r="L29" s="5" t="s">
        <v>582</v>
      </c>
      <c r="M29" s="5" t="s">
        <v>586</v>
      </c>
      <c r="N29" s="7" t="str">
        <f t="shared" si="0"/>
        <v>2025</v>
      </c>
      <c r="O29" s="7" t="str">
        <f t="shared" si="1"/>
        <v>Sep</v>
      </c>
      <c r="P29" s="7" t="str">
        <f t="shared" si="2"/>
        <v>Mon</v>
      </c>
      <c r="Q29" t="str">
        <f t="shared" si="3"/>
        <v>Discounted</v>
      </c>
      <c r="R29" t="str">
        <f t="shared" si="4"/>
        <v>Check Return Policy</v>
      </c>
    </row>
    <row r="30" spans="1:18" x14ac:dyDescent="0.25">
      <c r="A30" s="4">
        <v>1029</v>
      </c>
      <c r="B30" s="5" t="s">
        <v>41</v>
      </c>
      <c r="C30" s="5" t="s">
        <v>512</v>
      </c>
      <c r="D30" s="5" t="s">
        <v>531</v>
      </c>
      <c r="E30" s="5" t="s">
        <v>570</v>
      </c>
      <c r="F30" s="5" t="s">
        <v>575</v>
      </c>
      <c r="G30" s="4">
        <v>4</v>
      </c>
      <c r="H30" s="4">
        <v>6</v>
      </c>
      <c r="I30" s="4">
        <v>15</v>
      </c>
      <c r="J30" s="6">
        <v>45675</v>
      </c>
      <c r="K30" t="s">
        <v>581</v>
      </c>
      <c r="L30" s="5" t="s">
        <v>584</v>
      </c>
      <c r="M30" s="5" t="s">
        <v>585</v>
      </c>
      <c r="N30" s="7" t="str">
        <f t="shared" si="0"/>
        <v>2025</v>
      </c>
      <c r="O30" s="7" t="str">
        <f t="shared" si="1"/>
        <v>Jan</v>
      </c>
      <c r="P30" s="7" t="str">
        <f t="shared" si="2"/>
        <v>Sat</v>
      </c>
      <c r="Q30" t="str">
        <f t="shared" si="3"/>
        <v>Discounted</v>
      </c>
      <c r="R30" t="str">
        <f t="shared" si="4"/>
        <v>No Action</v>
      </c>
    </row>
    <row r="31" spans="1:18" x14ac:dyDescent="0.25">
      <c r="A31" s="4">
        <v>1030</v>
      </c>
      <c r="B31" s="5" t="s">
        <v>42</v>
      </c>
      <c r="C31" s="5" t="s">
        <v>512</v>
      </c>
      <c r="D31" s="5" t="s">
        <v>525</v>
      </c>
      <c r="E31" s="5" t="s">
        <v>566</v>
      </c>
      <c r="F31" s="5" t="s">
        <v>576</v>
      </c>
      <c r="G31" s="4">
        <v>15</v>
      </c>
      <c r="H31" s="4">
        <v>438</v>
      </c>
      <c r="I31" s="4">
        <v>0</v>
      </c>
      <c r="J31" s="6">
        <v>45849</v>
      </c>
      <c r="K31" t="s">
        <v>580</v>
      </c>
      <c r="L31" s="5" t="s">
        <v>584</v>
      </c>
      <c r="M31" s="5" t="s">
        <v>585</v>
      </c>
      <c r="N31" s="7" t="str">
        <f t="shared" si="0"/>
        <v>2025</v>
      </c>
      <c r="O31" s="7" t="str">
        <f t="shared" si="1"/>
        <v>Jul</v>
      </c>
      <c r="P31" s="7" t="str">
        <f t="shared" si="2"/>
        <v>Fri</v>
      </c>
      <c r="Q31" t="str">
        <f t="shared" si="3"/>
        <v>Full Price</v>
      </c>
      <c r="R31" t="str">
        <f t="shared" si="4"/>
        <v>No Action</v>
      </c>
    </row>
    <row r="32" spans="1:18" x14ac:dyDescent="0.25">
      <c r="A32" s="4">
        <v>1031</v>
      </c>
      <c r="B32" s="5" t="s">
        <v>43</v>
      </c>
      <c r="C32" s="5" t="s">
        <v>513</v>
      </c>
      <c r="D32" s="5" t="s">
        <v>538</v>
      </c>
      <c r="E32" s="5" t="s">
        <v>572</v>
      </c>
      <c r="F32" s="5" t="s">
        <v>577</v>
      </c>
      <c r="G32" s="4">
        <v>19</v>
      </c>
      <c r="H32" s="4">
        <v>161</v>
      </c>
      <c r="I32" s="4">
        <v>10</v>
      </c>
      <c r="J32" s="6">
        <v>45759</v>
      </c>
      <c r="K32" t="s">
        <v>581</v>
      </c>
      <c r="L32" s="5" t="s">
        <v>582</v>
      </c>
      <c r="M32" s="5" t="s">
        <v>586</v>
      </c>
      <c r="N32" s="7" t="str">
        <f t="shared" si="0"/>
        <v>2025</v>
      </c>
      <c r="O32" s="7" t="str">
        <f t="shared" si="1"/>
        <v>Apr</v>
      </c>
      <c r="P32" s="7" t="str">
        <f t="shared" si="2"/>
        <v>Sat</v>
      </c>
      <c r="Q32" t="str">
        <f t="shared" si="3"/>
        <v>Discounted</v>
      </c>
      <c r="R32" t="str">
        <f t="shared" si="4"/>
        <v>Check Return Policy</v>
      </c>
    </row>
    <row r="33" spans="1:18" x14ac:dyDescent="0.25">
      <c r="A33" s="4">
        <v>1032</v>
      </c>
      <c r="B33" s="5" t="s">
        <v>44</v>
      </c>
      <c r="C33" s="5" t="s">
        <v>511</v>
      </c>
      <c r="D33" s="5" t="s">
        <v>532</v>
      </c>
      <c r="E33" s="5" t="s">
        <v>572</v>
      </c>
      <c r="F33" s="5" t="s">
        <v>577</v>
      </c>
      <c r="G33" s="4">
        <v>5</v>
      </c>
      <c r="H33" s="4">
        <v>293</v>
      </c>
      <c r="I33" s="4">
        <v>5</v>
      </c>
      <c r="J33" s="6">
        <v>45850</v>
      </c>
      <c r="K33" t="s">
        <v>580</v>
      </c>
      <c r="L33" s="5" t="s">
        <v>583</v>
      </c>
      <c r="M33" s="5" t="s">
        <v>586</v>
      </c>
      <c r="N33" s="7" t="str">
        <f t="shared" si="0"/>
        <v>2025</v>
      </c>
      <c r="O33" s="7" t="str">
        <f t="shared" si="1"/>
        <v>Jul</v>
      </c>
      <c r="P33" s="7" t="str">
        <f t="shared" si="2"/>
        <v>Sat</v>
      </c>
      <c r="Q33" t="str">
        <f t="shared" si="3"/>
        <v>Discounted</v>
      </c>
      <c r="R33" t="str">
        <f t="shared" si="4"/>
        <v>Check Return Policy</v>
      </c>
    </row>
    <row r="34" spans="1:18" x14ac:dyDescent="0.25">
      <c r="A34" s="4">
        <v>1033</v>
      </c>
      <c r="B34" s="5" t="s">
        <v>45</v>
      </c>
      <c r="C34" s="5" t="s">
        <v>511</v>
      </c>
      <c r="D34" s="5" t="s">
        <v>539</v>
      </c>
      <c r="E34" s="5" t="s">
        <v>569</v>
      </c>
      <c r="F34" s="5" t="s">
        <v>576</v>
      </c>
      <c r="G34" s="4">
        <v>20</v>
      </c>
      <c r="H34" s="4">
        <v>926</v>
      </c>
      <c r="I34" s="4">
        <v>10</v>
      </c>
      <c r="J34" s="6">
        <v>45679</v>
      </c>
      <c r="K34" t="s">
        <v>578</v>
      </c>
      <c r="L34" s="5" t="s">
        <v>582</v>
      </c>
      <c r="M34" s="5" t="s">
        <v>585</v>
      </c>
      <c r="N34" s="7" t="str">
        <f t="shared" si="0"/>
        <v>2025</v>
      </c>
      <c r="O34" s="7" t="str">
        <f t="shared" si="1"/>
        <v>Jan</v>
      </c>
      <c r="P34" s="7" t="str">
        <f t="shared" si="2"/>
        <v>Wed</v>
      </c>
      <c r="Q34" t="str">
        <f t="shared" si="3"/>
        <v>Discounted</v>
      </c>
      <c r="R34" t="str">
        <f t="shared" si="4"/>
        <v>No Action</v>
      </c>
    </row>
    <row r="35" spans="1:18" x14ac:dyDescent="0.25">
      <c r="A35" s="4">
        <v>1034</v>
      </c>
      <c r="B35" s="5" t="s">
        <v>46</v>
      </c>
      <c r="C35" s="5" t="s">
        <v>511</v>
      </c>
      <c r="D35" s="5" t="s">
        <v>540</v>
      </c>
      <c r="E35" s="5" t="s">
        <v>568</v>
      </c>
      <c r="F35" s="5" t="s">
        <v>577</v>
      </c>
      <c r="G35" s="4">
        <v>5</v>
      </c>
      <c r="H35" s="4">
        <v>112</v>
      </c>
      <c r="I35" s="4">
        <v>0</v>
      </c>
      <c r="J35" s="6">
        <v>46003</v>
      </c>
      <c r="K35" t="s">
        <v>578</v>
      </c>
      <c r="L35" s="5" t="s">
        <v>582</v>
      </c>
      <c r="M35" s="5" t="s">
        <v>586</v>
      </c>
      <c r="N35" s="7" t="str">
        <f t="shared" si="0"/>
        <v>2025</v>
      </c>
      <c r="O35" s="7" t="str">
        <f t="shared" si="1"/>
        <v>Dec</v>
      </c>
      <c r="P35" s="7" t="str">
        <f t="shared" si="2"/>
        <v>Fri</v>
      </c>
      <c r="Q35" t="str">
        <f t="shared" si="3"/>
        <v>Full Price</v>
      </c>
      <c r="R35" t="str">
        <f t="shared" si="4"/>
        <v>Check Return Policy</v>
      </c>
    </row>
    <row r="36" spans="1:18" x14ac:dyDescent="0.25">
      <c r="A36" s="4">
        <v>1035</v>
      </c>
      <c r="B36" s="5" t="s">
        <v>47</v>
      </c>
      <c r="C36" s="5" t="s">
        <v>512</v>
      </c>
      <c r="D36" s="5" t="s">
        <v>539</v>
      </c>
      <c r="E36" s="5" t="s">
        <v>567</v>
      </c>
      <c r="F36" s="5" t="s">
        <v>576</v>
      </c>
      <c r="G36" s="4">
        <v>13</v>
      </c>
      <c r="H36" s="4">
        <v>959</v>
      </c>
      <c r="I36" s="4">
        <v>10</v>
      </c>
      <c r="J36" s="6">
        <v>45776</v>
      </c>
      <c r="K36" t="s">
        <v>578</v>
      </c>
      <c r="L36" s="5" t="s">
        <v>582</v>
      </c>
      <c r="M36" s="5" t="s">
        <v>585</v>
      </c>
      <c r="N36" s="7" t="str">
        <f t="shared" si="0"/>
        <v>2025</v>
      </c>
      <c r="O36" s="7" t="str">
        <f t="shared" si="1"/>
        <v>Apr</v>
      </c>
      <c r="P36" s="7" t="str">
        <f t="shared" si="2"/>
        <v>Tue</v>
      </c>
      <c r="Q36" t="str">
        <f t="shared" si="3"/>
        <v>Discounted</v>
      </c>
      <c r="R36" t="str">
        <f t="shared" si="4"/>
        <v>No Action</v>
      </c>
    </row>
    <row r="37" spans="1:18" x14ac:dyDescent="0.25">
      <c r="A37" s="4">
        <v>1036</v>
      </c>
      <c r="B37" s="5" t="s">
        <v>48</v>
      </c>
      <c r="C37" s="5" t="s">
        <v>514</v>
      </c>
      <c r="D37" s="5" t="s">
        <v>525</v>
      </c>
      <c r="E37" s="5" t="s">
        <v>571</v>
      </c>
      <c r="F37" s="5" t="s">
        <v>577</v>
      </c>
      <c r="G37" s="4">
        <v>1</v>
      </c>
      <c r="H37" s="4">
        <v>138</v>
      </c>
      <c r="I37" s="4">
        <v>10</v>
      </c>
      <c r="J37" s="6">
        <v>46016</v>
      </c>
      <c r="K37" t="s">
        <v>581</v>
      </c>
      <c r="L37" s="5" t="s">
        <v>582</v>
      </c>
      <c r="M37" s="5" t="s">
        <v>586</v>
      </c>
      <c r="N37" s="7" t="str">
        <f t="shared" si="0"/>
        <v>2025</v>
      </c>
      <c r="O37" s="7" t="str">
        <f t="shared" si="1"/>
        <v>Dec</v>
      </c>
      <c r="P37" s="7" t="str">
        <f t="shared" si="2"/>
        <v>Thu</v>
      </c>
      <c r="Q37" t="str">
        <f t="shared" si="3"/>
        <v>Discounted</v>
      </c>
      <c r="R37" t="str">
        <f t="shared" si="4"/>
        <v>Check Return Policy</v>
      </c>
    </row>
    <row r="38" spans="1:18" x14ac:dyDescent="0.25">
      <c r="A38" s="4">
        <v>1037</v>
      </c>
      <c r="B38" s="5" t="s">
        <v>49</v>
      </c>
      <c r="C38" s="5" t="s">
        <v>513</v>
      </c>
      <c r="D38" s="5" t="s">
        <v>541</v>
      </c>
      <c r="E38" s="5" t="s">
        <v>573</v>
      </c>
      <c r="F38" s="5" t="s">
        <v>576</v>
      </c>
      <c r="G38" s="4">
        <v>13</v>
      </c>
      <c r="H38" s="4">
        <v>207</v>
      </c>
      <c r="I38" s="4">
        <v>10</v>
      </c>
      <c r="J38" s="6">
        <v>45920</v>
      </c>
      <c r="K38" t="s">
        <v>581</v>
      </c>
      <c r="L38" s="5" t="s">
        <v>584</v>
      </c>
      <c r="M38" s="5" t="s">
        <v>586</v>
      </c>
      <c r="N38" s="7" t="str">
        <f t="shared" si="0"/>
        <v>2025</v>
      </c>
      <c r="O38" s="7" t="str">
        <f t="shared" si="1"/>
        <v>Sep</v>
      </c>
      <c r="P38" s="7" t="str">
        <f t="shared" si="2"/>
        <v>Sat</v>
      </c>
      <c r="Q38" t="str">
        <f t="shared" si="3"/>
        <v>Discounted</v>
      </c>
      <c r="R38" t="str">
        <f t="shared" si="4"/>
        <v>Check Return Policy</v>
      </c>
    </row>
    <row r="39" spans="1:18" x14ac:dyDescent="0.25">
      <c r="A39" s="4">
        <v>1038</v>
      </c>
      <c r="B39" s="5" t="s">
        <v>50</v>
      </c>
      <c r="C39" s="5" t="s">
        <v>514</v>
      </c>
      <c r="D39" s="5" t="s">
        <v>532</v>
      </c>
      <c r="E39" s="5" t="s">
        <v>567</v>
      </c>
      <c r="F39" s="5" t="s">
        <v>576</v>
      </c>
      <c r="G39" s="4">
        <v>15</v>
      </c>
      <c r="H39" s="4">
        <v>1064</v>
      </c>
      <c r="I39" s="4">
        <v>5</v>
      </c>
      <c r="J39" s="6">
        <v>45978</v>
      </c>
      <c r="K39" t="s">
        <v>578</v>
      </c>
      <c r="L39" s="5" t="s">
        <v>583</v>
      </c>
      <c r="M39" s="5" t="s">
        <v>586</v>
      </c>
      <c r="N39" s="7" t="str">
        <f t="shared" si="0"/>
        <v>2025</v>
      </c>
      <c r="O39" s="7" t="str">
        <f t="shared" si="1"/>
        <v>Nov</v>
      </c>
      <c r="P39" s="7" t="str">
        <f t="shared" si="2"/>
        <v>Mon</v>
      </c>
      <c r="Q39" t="str">
        <f t="shared" si="3"/>
        <v>Discounted</v>
      </c>
      <c r="R39" t="str">
        <f t="shared" si="4"/>
        <v>Check Return Policy</v>
      </c>
    </row>
    <row r="40" spans="1:18" x14ac:dyDescent="0.25">
      <c r="A40" s="4">
        <v>1039</v>
      </c>
      <c r="B40" s="5" t="s">
        <v>51</v>
      </c>
      <c r="C40" s="5" t="s">
        <v>513</v>
      </c>
      <c r="D40" s="5" t="s">
        <v>531</v>
      </c>
      <c r="E40" s="5" t="s">
        <v>572</v>
      </c>
      <c r="F40" s="5" t="s">
        <v>577</v>
      </c>
      <c r="G40" s="4">
        <v>11</v>
      </c>
      <c r="H40" s="4">
        <v>82</v>
      </c>
      <c r="I40" s="4">
        <v>15</v>
      </c>
      <c r="J40" s="6">
        <v>45947</v>
      </c>
      <c r="K40" t="s">
        <v>581</v>
      </c>
      <c r="L40" s="5" t="s">
        <v>582</v>
      </c>
      <c r="M40" s="5" t="s">
        <v>586</v>
      </c>
      <c r="N40" s="7" t="str">
        <f t="shared" si="0"/>
        <v>2025</v>
      </c>
      <c r="O40" s="7" t="str">
        <f t="shared" si="1"/>
        <v>Oct</v>
      </c>
      <c r="P40" s="7" t="str">
        <f t="shared" si="2"/>
        <v>Fri</v>
      </c>
      <c r="Q40" t="str">
        <f t="shared" si="3"/>
        <v>Discounted</v>
      </c>
      <c r="R40" t="str">
        <f t="shared" si="4"/>
        <v>Check Return Policy</v>
      </c>
    </row>
    <row r="41" spans="1:18" x14ac:dyDescent="0.25">
      <c r="A41" s="4">
        <v>1040</v>
      </c>
      <c r="B41" s="5" t="s">
        <v>52</v>
      </c>
      <c r="C41" s="5" t="s">
        <v>514</v>
      </c>
      <c r="D41" s="5" t="s">
        <v>521</v>
      </c>
      <c r="E41" s="5" t="s">
        <v>573</v>
      </c>
      <c r="F41" s="5" t="s">
        <v>576</v>
      </c>
      <c r="G41" s="4">
        <v>12</v>
      </c>
      <c r="H41" s="4">
        <v>303</v>
      </c>
      <c r="I41" s="4">
        <v>0</v>
      </c>
      <c r="J41" s="6">
        <v>45738</v>
      </c>
      <c r="K41" t="s">
        <v>579</v>
      </c>
      <c r="L41" s="5" t="s">
        <v>582</v>
      </c>
      <c r="M41" s="5" t="s">
        <v>586</v>
      </c>
      <c r="N41" s="7" t="str">
        <f t="shared" si="0"/>
        <v>2025</v>
      </c>
      <c r="O41" s="7" t="str">
        <f t="shared" si="1"/>
        <v>Mar</v>
      </c>
      <c r="P41" s="7" t="str">
        <f t="shared" si="2"/>
        <v>Sat</v>
      </c>
      <c r="Q41" t="str">
        <f t="shared" si="3"/>
        <v>Full Price</v>
      </c>
      <c r="R41" t="str">
        <f t="shared" si="4"/>
        <v>Check Return Policy</v>
      </c>
    </row>
    <row r="42" spans="1:18" x14ac:dyDescent="0.25">
      <c r="A42" s="4">
        <v>1041</v>
      </c>
      <c r="B42" s="5" t="s">
        <v>53</v>
      </c>
      <c r="C42" s="5" t="s">
        <v>514</v>
      </c>
      <c r="D42" s="5" t="s">
        <v>523</v>
      </c>
      <c r="E42" s="5" t="s">
        <v>568</v>
      </c>
      <c r="F42" s="5" t="s">
        <v>577</v>
      </c>
      <c r="G42" s="4">
        <v>2</v>
      </c>
      <c r="H42" s="4">
        <v>181</v>
      </c>
      <c r="I42" s="4">
        <v>15</v>
      </c>
      <c r="J42" s="6">
        <v>45953</v>
      </c>
      <c r="K42" t="s">
        <v>578</v>
      </c>
      <c r="L42" s="5" t="s">
        <v>584</v>
      </c>
      <c r="M42" s="5" t="s">
        <v>585</v>
      </c>
      <c r="N42" s="7" t="str">
        <f t="shared" si="0"/>
        <v>2025</v>
      </c>
      <c r="O42" s="7" t="str">
        <f t="shared" si="1"/>
        <v>Oct</v>
      </c>
      <c r="P42" s="7" t="str">
        <f t="shared" si="2"/>
        <v>Thu</v>
      </c>
      <c r="Q42" t="str">
        <f t="shared" si="3"/>
        <v>Discounted</v>
      </c>
      <c r="R42" t="str">
        <f t="shared" si="4"/>
        <v>No Action</v>
      </c>
    </row>
    <row r="43" spans="1:18" x14ac:dyDescent="0.25">
      <c r="A43" s="4">
        <v>1042</v>
      </c>
      <c r="B43" s="5" t="s">
        <v>54</v>
      </c>
      <c r="C43" s="5" t="s">
        <v>513</v>
      </c>
      <c r="D43" s="5" t="s">
        <v>539</v>
      </c>
      <c r="E43" s="5" t="s">
        <v>566</v>
      </c>
      <c r="F43" s="5" t="s">
        <v>576</v>
      </c>
      <c r="G43" s="4">
        <v>16</v>
      </c>
      <c r="H43" s="4">
        <v>120</v>
      </c>
      <c r="I43" s="4">
        <v>15</v>
      </c>
      <c r="J43" s="6">
        <v>45879</v>
      </c>
      <c r="K43" t="s">
        <v>578</v>
      </c>
      <c r="L43" s="5" t="s">
        <v>584</v>
      </c>
      <c r="M43" s="5" t="s">
        <v>585</v>
      </c>
      <c r="N43" s="7" t="str">
        <f t="shared" si="0"/>
        <v>2025</v>
      </c>
      <c r="O43" s="7" t="str">
        <f t="shared" si="1"/>
        <v>Aug</v>
      </c>
      <c r="P43" s="7" t="str">
        <f t="shared" si="2"/>
        <v>Sun</v>
      </c>
      <c r="Q43" t="str">
        <f t="shared" si="3"/>
        <v>Discounted</v>
      </c>
      <c r="R43" t="str">
        <f t="shared" si="4"/>
        <v>No Action</v>
      </c>
    </row>
    <row r="44" spans="1:18" x14ac:dyDescent="0.25">
      <c r="A44" s="4">
        <v>1043</v>
      </c>
      <c r="B44" s="5" t="s">
        <v>55</v>
      </c>
      <c r="C44" s="5" t="s">
        <v>513</v>
      </c>
      <c r="D44" s="5" t="s">
        <v>542</v>
      </c>
      <c r="E44" s="5" t="s">
        <v>568</v>
      </c>
      <c r="F44" s="5" t="s">
        <v>577</v>
      </c>
      <c r="G44" s="4">
        <v>18</v>
      </c>
      <c r="H44" s="4">
        <v>381</v>
      </c>
      <c r="I44" s="4">
        <v>5</v>
      </c>
      <c r="J44" s="6">
        <v>45996</v>
      </c>
      <c r="K44" t="s">
        <v>579</v>
      </c>
      <c r="L44" s="5" t="s">
        <v>582</v>
      </c>
      <c r="M44" s="5" t="s">
        <v>586</v>
      </c>
      <c r="N44" s="7" t="str">
        <f t="shared" si="0"/>
        <v>2025</v>
      </c>
      <c r="O44" s="7" t="str">
        <f t="shared" si="1"/>
        <v>Dec</v>
      </c>
      <c r="P44" s="7" t="str">
        <f t="shared" si="2"/>
        <v>Fri</v>
      </c>
      <c r="Q44" t="str">
        <f t="shared" si="3"/>
        <v>Discounted</v>
      </c>
      <c r="R44" t="str">
        <f t="shared" si="4"/>
        <v>Check Return Policy</v>
      </c>
    </row>
    <row r="45" spans="1:18" x14ac:dyDescent="0.25">
      <c r="A45" s="4">
        <v>1044</v>
      </c>
      <c r="B45" s="5" t="s">
        <v>56</v>
      </c>
      <c r="C45" s="5" t="s">
        <v>513</v>
      </c>
      <c r="D45" s="5" t="s">
        <v>543</v>
      </c>
      <c r="E45" s="5" t="s">
        <v>572</v>
      </c>
      <c r="F45" s="5" t="s">
        <v>577</v>
      </c>
      <c r="G45" s="4">
        <v>20</v>
      </c>
      <c r="H45" s="4">
        <v>279</v>
      </c>
      <c r="I45" s="4">
        <v>10</v>
      </c>
      <c r="J45" s="6">
        <v>45867</v>
      </c>
      <c r="K45" t="s">
        <v>578</v>
      </c>
      <c r="L45" s="5" t="s">
        <v>582</v>
      </c>
      <c r="M45" s="5" t="s">
        <v>585</v>
      </c>
      <c r="N45" s="7" t="str">
        <f t="shared" si="0"/>
        <v>2025</v>
      </c>
      <c r="O45" s="7" t="str">
        <f t="shared" si="1"/>
        <v>Jul</v>
      </c>
      <c r="P45" s="7" t="str">
        <f t="shared" si="2"/>
        <v>Tue</v>
      </c>
      <c r="Q45" t="str">
        <f t="shared" si="3"/>
        <v>Discounted</v>
      </c>
      <c r="R45" t="str">
        <f t="shared" si="4"/>
        <v>No Action</v>
      </c>
    </row>
    <row r="46" spans="1:18" x14ac:dyDescent="0.25">
      <c r="A46" s="4">
        <v>1045</v>
      </c>
      <c r="B46" s="5" t="s">
        <v>57</v>
      </c>
      <c r="C46" s="5" t="s">
        <v>514</v>
      </c>
      <c r="D46" s="5" t="s">
        <v>537</v>
      </c>
      <c r="E46" s="5" t="s">
        <v>565</v>
      </c>
      <c r="F46" s="5" t="s">
        <v>575</v>
      </c>
      <c r="G46" s="4">
        <v>10</v>
      </c>
      <c r="H46" s="4">
        <v>10</v>
      </c>
      <c r="I46" s="4">
        <v>15</v>
      </c>
      <c r="J46" s="6">
        <v>45762</v>
      </c>
      <c r="K46" t="s">
        <v>579</v>
      </c>
      <c r="L46" s="5" t="s">
        <v>584</v>
      </c>
      <c r="M46" s="5" t="s">
        <v>586</v>
      </c>
      <c r="N46" s="7" t="str">
        <f t="shared" si="0"/>
        <v>2025</v>
      </c>
      <c r="O46" s="7" t="str">
        <f t="shared" si="1"/>
        <v>Apr</v>
      </c>
      <c r="P46" s="7" t="str">
        <f t="shared" si="2"/>
        <v>Tue</v>
      </c>
      <c r="Q46" t="str">
        <f t="shared" si="3"/>
        <v>Discounted</v>
      </c>
      <c r="R46" t="str">
        <f t="shared" si="4"/>
        <v>Check Return Policy</v>
      </c>
    </row>
    <row r="47" spans="1:18" x14ac:dyDescent="0.25">
      <c r="A47" s="4">
        <v>1046</v>
      </c>
      <c r="B47" s="5" t="s">
        <v>58</v>
      </c>
      <c r="C47" s="5" t="s">
        <v>513</v>
      </c>
      <c r="D47" s="5" t="s">
        <v>544</v>
      </c>
      <c r="E47" s="5" t="s">
        <v>566</v>
      </c>
      <c r="F47" s="5" t="s">
        <v>576</v>
      </c>
      <c r="G47" s="4">
        <v>18</v>
      </c>
      <c r="H47" s="4">
        <v>103</v>
      </c>
      <c r="I47" s="4">
        <v>5</v>
      </c>
      <c r="J47" s="6">
        <v>45732</v>
      </c>
      <c r="K47" t="s">
        <v>581</v>
      </c>
      <c r="L47" s="5" t="s">
        <v>583</v>
      </c>
      <c r="M47" s="5" t="s">
        <v>586</v>
      </c>
      <c r="N47" s="7" t="str">
        <f t="shared" si="0"/>
        <v>2025</v>
      </c>
      <c r="O47" s="7" t="str">
        <f t="shared" si="1"/>
        <v>Mar</v>
      </c>
      <c r="P47" s="7" t="str">
        <f t="shared" si="2"/>
        <v>Sun</v>
      </c>
      <c r="Q47" t="str">
        <f t="shared" si="3"/>
        <v>Discounted</v>
      </c>
      <c r="R47" t="str">
        <f t="shared" si="4"/>
        <v>Check Return Policy</v>
      </c>
    </row>
    <row r="48" spans="1:18" x14ac:dyDescent="0.25">
      <c r="A48" s="4">
        <v>1047</v>
      </c>
      <c r="B48" s="5" t="s">
        <v>59</v>
      </c>
      <c r="C48" s="5" t="s">
        <v>511</v>
      </c>
      <c r="D48" s="5" t="s">
        <v>539</v>
      </c>
      <c r="E48" s="5" t="s">
        <v>565</v>
      </c>
      <c r="F48" s="5" t="s">
        <v>575</v>
      </c>
      <c r="G48" s="4">
        <v>4</v>
      </c>
      <c r="H48" s="4">
        <v>4</v>
      </c>
      <c r="I48" s="4">
        <v>10</v>
      </c>
      <c r="J48" s="6">
        <v>45976</v>
      </c>
      <c r="K48" t="s">
        <v>579</v>
      </c>
      <c r="L48" s="5" t="s">
        <v>584</v>
      </c>
      <c r="M48" s="5" t="s">
        <v>585</v>
      </c>
      <c r="N48" s="7" t="str">
        <f t="shared" si="0"/>
        <v>2025</v>
      </c>
      <c r="O48" s="7" t="str">
        <f t="shared" si="1"/>
        <v>Nov</v>
      </c>
      <c r="P48" s="7" t="str">
        <f t="shared" si="2"/>
        <v>Sat</v>
      </c>
      <c r="Q48" t="str">
        <f t="shared" si="3"/>
        <v>Discounted</v>
      </c>
      <c r="R48" t="str">
        <f t="shared" si="4"/>
        <v>No Action</v>
      </c>
    </row>
    <row r="49" spans="1:18" x14ac:dyDescent="0.25">
      <c r="A49" s="4">
        <v>1048</v>
      </c>
      <c r="B49" s="5" t="s">
        <v>60</v>
      </c>
      <c r="C49" s="5" t="s">
        <v>513</v>
      </c>
      <c r="D49" s="5" t="s">
        <v>532</v>
      </c>
      <c r="E49" s="5" t="s">
        <v>566</v>
      </c>
      <c r="F49" s="5" t="s">
        <v>576</v>
      </c>
      <c r="G49" s="4">
        <v>18</v>
      </c>
      <c r="H49" s="4">
        <v>250</v>
      </c>
      <c r="I49" s="4">
        <v>15</v>
      </c>
      <c r="J49" s="6">
        <v>45705</v>
      </c>
      <c r="K49" t="s">
        <v>581</v>
      </c>
      <c r="L49" s="5" t="s">
        <v>583</v>
      </c>
      <c r="M49" s="5" t="s">
        <v>585</v>
      </c>
      <c r="N49" s="7" t="str">
        <f t="shared" si="0"/>
        <v>2025</v>
      </c>
      <c r="O49" s="7" t="str">
        <f t="shared" si="1"/>
        <v>Feb</v>
      </c>
      <c r="P49" s="7" t="str">
        <f t="shared" si="2"/>
        <v>Mon</v>
      </c>
      <c r="Q49" t="str">
        <f t="shared" si="3"/>
        <v>Discounted</v>
      </c>
      <c r="R49" t="str">
        <f t="shared" si="4"/>
        <v>No Action</v>
      </c>
    </row>
    <row r="50" spans="1:18" x14ac:dyDescent="0.25">
      <c r="A50" s="4">
        <v>1049</v>
      </c>
      <c r="B50" s="5" t="s">
        <v>61</v>
      </c>
      <c r="C50" s="5" t="s">
        <v>514</v>
      </c>
      <c r="D50" s="5" t="s">
        <v>530</v>
      </c>
      <c r="E50" s="5" t="s">
        <v>571</v>
      </c>
      <c r="F50" s="5" t="s">
        <v>577</v>
      </c>
      <c r="G50" s="4">
        <v>20</v>
      </c>
      <c r="H50" s="4">
        <v>273</v>
      </c>
      <c r="I50" s="4">
        <v>5</v>
      </c>
      <c r="J50" s="6">
        <v>45987</v>
      </c>
      <c r="K50" t="s">
        <v>580</v>
      </c>
      <c r="L50" s="5" t="s">
        <v>584</v>
      </c>
      <c r="M50" s="5" t="s">
        <v>585</v>
      </c>
      <c r="N50" s="7" t="str">
        <f t="shared" si="0"/>
        <v>2025</v>
      </c>
      <c r="O50" s="7" t="str">
        <f t="shared" si="1"/>
        <v>Nov</v>
      </c>
      <c r="P50" s="7" t="str">
        <f t="shared" si="2"/>
        <v>Wed</v>
      </c>
      <c r="Q50" t="str">
        <f t="shared" si="3"/>
        <v>Discounted</v>
      </c>
      <c r="R50" t="str">
        <f t="shared" si="4"/>
        <v>No Action</v>
      </c>
    </row>
    <row r="51" spans="1:18" x14ac:dyDescent="0.25">
      <c r="A51" s="4">
        <v>1050</v>
      </c>
      <c r="B51" s="5" t="s">
        <v>62</v>
      </c>
      <c r="C51" s="5" t="s">
        <v>512</v>
      </c>
      <c r="D51" s="5" t="s">
        <v>534</v>
      </c>
      <c r="E51" s="5" t="s">
        <v>574</v>
      </c>
      <c r="F51" s="5" t="s">
        <v>576</v>
      </c>
      <c r="G51" s="4">
        <v>3</v>
      </c>
      <c r="H51" s="4">
        <v>137</v>
      </c>
      <c r="I51" s="4">
        <v>5</v>
      </c>
      <c r="J51" s="6">
        <v>45929</v>
      </c>
      <c r="K51" t="s">
        <v>581</v>
      </c>
      <c r="L51" s="5" t="s">
        <v>582</v>
      </c>
      <c r="M51" s="5" t="s">
        <v>585</v>
      </c>
      <c r="N51" s="7" t="str">
        <f t="shared" si="0"/>
        <v>2025</v>
      </c>
      <c r="O51" s="7" t="str">
        <f t="shared" si="1"/>
        <v>Sep</v>
      </c>
      <c r="P51" s="7" t="str">
        <f t="shared" si="2"/>
        <v>Mon</v>
      </c>
      <c r="Q51" t="str">
        <f t="shared" si="3"/>
        <v>Discounted</v>
      </c>
      <c r="R51" t="str">
        <f t="shared" si="4"/>
        <v>No Action</v>
      </c>
    </row>
    <row r="52" spans="1:18" x14ac:dyDescent="0.25">
      <c r="A52" s="4">
        <v>1051</v>
      </c>
      <c r="B52" s="5" t="s">
        <v>63</v>
      </c>
      <c r="C52" s="5" t="s">
        <v>514</v>
      </c>
      <c r="D52" s="5" t="s">
        <v>517</v>
      </c>
      <c r="E52" s="5" t="s">
        <v>573</v>
      </c>
      <c r="F52" s="5" t="s">
        <v>576</v>
      </c>
      <c r="G52" s="4">
        <v>9</v>
      </c>
      <c r="H52" s="4">
        <v>201</v>
      </c>
      <c r="I52" s="4">
        <v>5</v>
      </c>
      <c r="J52" s="6">
        <v>45976</v>
      </c>
      <c r="K52" t="s">
        <v>580</v>
      </c>
      <c r="L52" s="5" t="s">
        <v>584</v>
      </c>
      <c r="M52" s="5" t="s">
        <v>586</v>
      </c>
      <c r="N52" s="7" t="str">
        <f t="shared" si="0"/>
        <v>2025</v>
      </c>
      <c r="O52" s="7" t="str">
        <f t="shared" si="1"/>
        <v>Nov</v>
      </c>
      <c r="P52" s="7" t="str">
        <f t="shared" si="2"/>
        <v>Sat</v>
      </c>
      <c r="Q52" t="str">
        <f t="shared" si="3"/>
        <v>Discounted</v>
      </c>
      <c r="R52" t="str">
        <f t="shared" si="4"/>
        <v>Check Return Policy</v>
      </c>
    </row>
    <row r="53" spans="1:18" x14ac:dyDescent="0.25">
      <c r="A53" s="4">
        <v>1052</v>
      </c>
      <c r="B53" s="5" t="s">
        <v>64</v>
      </c>
      <c r="C53" s="5" t="s">
        <v>512</v>
      </c>
      <c r="D53" s="5" t="s">
        <v>529</v>
      </c>
      <c r="E53" s="5" t="s">
        <v>565</v>
      </c>
      <c r="F53" s="5" t="s">
        <v>575</v>
      </c>
      <c r="G53" s="4">
        <v>14</v>
      </c>
      <c r="H53" s="4">
        <v>2</v>
      </c>
      <c r="I53" s="4">
        <v>15</v>
      </c>
      <c r="J53" s="6">
        <v>45898</v>
      </c>
      <c r="K53" t="s">
        <v>580</v>
      </c>
      <c r="L53" s="5" t="s">
        <v>583</v>
      </c>
      <c r="M53" s="5" t="s">
        <v>585</v>
      </c>
      <c r="N53" s="7" t="str">
        <f t="shared" si="0"/>
        <v>2025</v>
      </c>
      <c r="O53" s="7" t="str">
        <f t="shared" si="1"/>
        <v>Aug</v>
      </c>
      <c r="P53" s="7" t="str">
        <f t="shared" si="2"/>
        <v>Fri</v>
      </c>
      <c r="Q53" t="str">
        <f t="shared" si="3"/>
        <v>Discounted</v>
      </c>
      <c r="R53" t="str">
        <f t="shared" si="4"/>
        <v>No Action</v>
      </c>
    </row>
    <row r="54" spans="1:18" x14ac:dyDescent="0.25">
      <c r="A54" s="4">
        <v>1053</v>
      </c>
      <c r="B54" s="5" t="s">
        <v>65</v>
      </c>
      <c r="C54" s="5" t="s">
        <v>511</v>
      </c>
      <c r="D54" s="5" t="s">
        <v>538</v>
      </c>
      <c r="E54" s="5" t="s">
        <v>573</v>
      </c>
      <c r="F54" s="5" t="s">
        <v>576</v>
      </c>
      <c r="G54" s="4">
        <v>16</v>
      </c>
      <c r="H54" s="4">
        <v>151</v>
      </c>
      <c r="I54" s="4">
        <v>15</v>
      </c>
      <c r="J54" s="6">
        <v>45893</v>
      </c>
      <c r="K54" t="s">
        <v>581</v>
      </c>
      <c r="L54" s="5" t="s">
        <v>584</v>
      </c>
      <c r="M54" s="5" t="s">
        <v>585</v>
      </c>
      <c r="N54" s="7" t="str">
        <f t="shared" si="0"/>
        <v>2025</v>
      </c>
      <c r="O54" s="7" t="str">
        <f t="shared" si="1"/>
        <v>Aug</v>
      </c>
      <c r="P54" s="7" t="str">
        <f t="shared" si="2"/>
        <v>Sun</v>
      </c>
      <c r="Q54" t="str">
        <f t="shared" si="3"/>
        <v>Discounted</v>
      </c>
      <c r="R54" t="str">
        <f t="shared" si="4"/>
        <v>No Action</v>
      </c>
    </row>
    <row r="55" spans="1:18" x14ac:dyDescent="0.25">
      <c r="A55" s="4">
        <v>1054</v>
      </c>
      <c r="B55" s="5" t="s">
        <v>66</v>
      </c>
      <c r="C55" s="5" t="s">
        <v>511</v>
      </c>
      <c r="D55" s="5" t="s">
        <v>527</v>
      </c>
      <c r="E55" s="5" t="s">
        <v>571</v>
      </c>
      <c r="F55" s="5" t="s">
        <v>577</v>
      </c>
      <c r="G55" s="4">
        <v>11</v>
      </c>
      <c r="H55" s="4">
        <v>286</v>
      </c>
      <c r="I55" s="4">
        <v>10</v>
      </c>
      <c r="J55" s="6">
        <v>45979</v>
      </c>
      <c r="K55" t="s">
        <v>580</v>
      </c>
      <c r="L55" s="5" t="s">
        <v>584</v>
      </c>
      <c r="M55" s="5" t="s">
        <v>586</v>
      </c>
      <c r="N55" s="7" t="str">
        <f t="shared" si="0"/>
        <v>2025</v>
      </c>
      <c r="O55" s="7" t="str">
        <f t="shared" si="1"/>
        <v>Nov</v>
      </c>
      <c r="P55" s="7" t="str">
        <f t="shared" si="2"/>
        <v>Tue</v>
      </c>
      <c r="Q55" t="str">
        <f t="shared" si="3"/>
        <v>Discounted</v>
      </c>
      <c r="R55" t="str">
        <f t="shared" si="4"/>
        <v>Check Return Policy</v>
      </c>
    </row>
    <row r="56" spans="1:18" x14ac:dyDescent="0.25">
      <c r="A56" s="4">
        <v>1055</v>
      </c>
      <c r="B56" s="5" t="s">
        <v>67</v>
      </c>
      <c r="C56" s="5" t="s">
        <v>512</v>
      </c>
      <c r="D56" s="5" t="s">
        <v>530</v>
      </c>
      <c r="E56" s="5" t="s">
        <v>574</v>
      </c>
      <c r="F56" s="5" t="s">
        <v>576</v>
      </c>
      <c r="G56" s="4">
        <v>9</v>
      </c>
      <c r="H56" s="4">
        <v>104</v>
      </c>
      <c r="I56" s="4">
        <v>10</v>
      </c>
      <c r="J56" s="6">
        <v>45664</v>
      </c>
      <c r="K56" t="s">
        <v>579</v>
      </c>
      <c r="L56" s="5" t="s">
        <v>582</v>
      </c>
      <c r="M56" s="5" t="s">
        <v>586</v>
      </c>
      <c r="N56" s="7" t="str">
        <f t="shared" si="0"/>
        <v>2025</v>
      </c>
      <c r="O56" s="7" t="str">
        <f t="shared" si="1"/>
        <v>Jan</v>
      </c>
      <c r="P56" s="7" t="str">
        <f t="shared" si="2"/>
        <v>Tue</v>
      </c>
      <c r="Q56" t="str">
        <f t="shared" si="3"/>
        <v>Discounted</v>
      </c>
      <c r="R56" t="str">
        <f t="shared" si="4"/>
        <v>Check Return Policy</v>
      </c>
    </row>
    <row r="57" spans="1:18" x14ac:dyDescent="0.25">
      <c r="A57" s="4">
        <v>1056</v>
      </c>
      <c r="B57" s="5" t="s">
        <v>68</v>
      </c>
      <c r="C57" s="5" t="s">
        <v>514</v>
      </c>
      <c r="D57" s="5" t="s">
        <v>542</v>
      </c>
      <c r="E57" s="5" t="s">
        <v>565</v>
      </c>
      <c r="F57" s="5" t="s">
        <v>575</v>
      </c>
      <c r="G57" s="4">
        <v>8</v>
      </c>
      <c r="H57" s="4">
        <v>5</v>
      </c>
      <c r="I57" s="4">
        <v>10</v>
      </c>
      <c r="J57" s="6">
        <v>45836</v>
      </c>
      <c r="K57" t="s">
        <v>580</v>
      </c>
      <c r="L57" s="5" t="s">
        <v>584</v>
      </c>
      <c r="M57" s="5" t="s">
        <v>585</v>
      </c>
      <c r="N57" s="7" t="str">
        <f t="shared" si="0"/>
        <v>2025</v>
      </c>
      <c r="O57" s="7" t="str">
        <f t="shared" si="1"/>
        <v>Jun</v>
      </c>
      <c r="P57" s="7" t="str">
        <f t="shared" si="2"/>
        <v>Sat</v>
      </c>
      <c r="Q57" t="str">
        <f t="shared" si="3"/>
        <v>Discounted</v>
      </c>
      <c r="R57" t="str">
        <f t="shared" si="4"/>
        <v>No Action</v>
      </c>
    </row>
    <row r="58" spans="1:18" x14ac:dyDescent="0.25">
      <c r="A58" s="4">
        <v>1057</v>
      </c>
      <c r="B58" s="5" t="s">
        <v>69</v>
      </c>
      <c r="C58" s="5" t="s">
        <v>514</v>
      </c>
      <c r="D58" s="5" t="s">
        <v>537</v>
      </c>
      <c r="E58" s="5" t="s">
        <v>566</v>
      </c>
      <c r="F58" s="5" t="s">
        <v>576</v>
      </c>
      <c r="G58" s="4">
        <v>16</v>
      </c>
      <c r="H58" s="4">
        <v>189</v>
      </c>
      <c r="I58" s="4">
        <v>0</v>
      </c>
      <c r="J58" s="6">
        <v>45802</v>
      </c>
      <c r="K58" t="s">
        <v>580</v>
      </c>
      <c r="L58" s="5" t="s">
        <v>583</v>
      </c>
      <c r="M58" s="5" t="s">
        <v>586</v>
      </c>
      <c r="N58" s="7" t="str">
        <f t="shared" si="0"/>
        <v>2025</v>
      </c>
      <c r="O58" s="7" t="str">
        <f t="shared" si="1"/>
        <v>May</v>
      </c>
      <c r="P58" s="7" t="str">
        <f t="shared" si="2"/>
        <v>Sun</v>
      </c>
      <c r="Q58" t="str">
        <f t="shared" si="3"/>
        <v>Full Price</v>
      </c>
      <c r="R58" t="str">
        <f t="shared" si="4"/>
        <v>Check Return Policy</v>
      </c>
    </row>
    <row r="59" spans="1:18" x14ac:dyDescent="0.25">
      <c r="A59" s="4">
        <v>1058</v>
      </c>
      <c r="B59" s="5" t="s">
        <v>70</v>
      </c>
      <c r="C59" s="5" t="s">
        <v>513</v>
      </c>
      <c r="D59" s="5" t="s">
        <v>545</v>
      </c>
      <c r="E59" s="5" t="s">
        <v>572</v>
      </c>
      <c r="F59" s="5" t="s">
        <v>577</v>
      </c>
      <c r="G59" s="4">
        <v>3</v>
      </c>
      <c r="H59" s="4">
        <v>289</v>
      </c>
      <c r="I59" s="4">
        <v>5</v>
      </c>
      <c r="J59" s="6">
        <v>45971</v>
      </c>
      <c r="K59" t="s">
        <v>578</v>
      </c>
      <c r="L59" s="5" t="s">
        <v>582</v>
      </c>
      <c r="M59" s="5" t="s">
        <v>585</v>
      </c>
      <c r="N59" s="7" t="str">
        <f t="shared" si="0"/>
        <v>2025</v>
      </c>
      <c r="O59" s="7" t="str">
        <f t="shared" si="1"/>
        <v>Nov</v>
      </c>
      <c r="P59" s="7" t="str">
        <f t="shared" si="2"/>
        <v>Mon</v>
      </c>
      <c r="Q59" t="str">
        <f t="shared" si="3"/>
        <v>Discounted</v>
      </c>
      <c r="R59" t="str">
        <f t="shared" si="4"/>
        <v>No Action</v>
      </c>
    </row>
    <row r="60" spans="1:18" x14ac:dyDescent="0.25">
      <c r="A60" s="4">
        <v>1059</v>
      </c>
      <c r="B60" s="5" t="s">
        <v>71</v>
      </c>
      <c r="C60" s="5" t="s">
        <v>511</v>
      </c>
      <c r="D60" s="5" t="s">
        <v>529</v>
      </c>
      <c r="E60" s="5" t="s">
        <v>570</v>
      </c>
      <c r="F60" s="5" t="s">
        <v>575</v>
      </c>
      <c r="G60" s="4">
        <v>18</v>
      </c>
      <c r="H60" s="4">
        <v>13</v>
      </c>
      <c r="I60" s="4">
        <v>10</v>
      </c>
      <c r="J60" s="6">
        <v>45821</v>
      </c>
      <c r="K60" t="s">
        <v>578</v>
      </c>
      <c r="L60" s="5" t="s">
        <v>582</v>
      </c>
      <c r="M60" s="5" t="s">
        <v>585</v>
      </c>
      <c r="N60" s="7" t="str">
        <f t="shared" si="0"/>
        <v>2025</v>
      </c>
      <c r="O60" s="7" t="str">
        <f t="shared" si="1"/>
        <v>Jun</v>
      </c>
      <c r="P60" s="7" t="str">
        <f t="shared" si="2"/>
        <v>Fri</v>
      </c>
      <c r="Q60" t="str">
        <f t="shared" si="3"/>
        <v>Discounted</v>
      </c>
      <c r="R60" t="str">
        <f t="shared" si="4"/>
        <v>No Action</v>
      </c>
    </row>
    <row r="61" spans="1:18" x14ac:dyDescent="0.25">
      <c r="A61" s="4">
        <v>1060</v>
      </c>
      <c r="B61" s="5" t="s">
        <v>72</v>
      </c>
      <c r="C61" s="5" t="s">
        <v>512</v>
      </c>
      <c r="D61" s="5" t="s">
        <v>542</v>
      </c>
      <c r="E61" s="5" t="s">
        <v>569</v>
      </c>
      <c r="F61" s="5" t="s">
        <v>576</v>
      </c>
      <c r="G61" s="4">
        <v>20</v>
      </c>
      <c r="H61" s="4">
        <v>896</v>
      </c>
      <c r="I61" s="4">
        <v>5</v>
      </c>
      <c r="J61" s="6">
        <v>45880</v>
      </c>
      <c r="K61" t="s">
        <v>579</v>
      </c>
      <c r="L61" s="5" t="s">
        <v>582</v>
      </c>
      <c r="M61" s="5" t="s">
        <v>586</v>
      </c>
      <c r="N61" s="7" t="str">
        <f t="shared" si="0"/>
        <v>2025</v>
      </c>
      <c r="O61" s="7" t="str">
        <f t="shared" si="1"/>
        <v>Aug</v>
      </c>
      <c r="P61" s="7" t="str">
        <f t="shared" si="2"/>
        <v>Mon</v>
      </c>
      <c r="Q61" t="str">
        <f t="shared" si="3"/>
        <v>Discounted</v>
      </c>
      <c r="R61" t="str">
        <f t="shared" si="4"/>
        <v>Check Return Policy</v>
      </c>
    </row>
    <row r="62" spans="1:18" x14ac:dyDescent="0.25">
      <c r="A62" s="4">
        <v>1061</v>
      </c>
      <c r="B62" s="5" t="s">
        <v>73</v>
      </c>
      <c r="C62" s="5" t="s">
        <v>513</v>
      </c>
      <c r="D62" s="5" t="s">
        <v>531</v>
      </c>
      <c r="E62" s="5" t="s">
        <v>567</v>
      </c>
      <c r="F62" s="5" t="s">
        <v>576</v>
      </c>
      <c r="G62" s="4">
        <v>6</v>
      </c>
      <c r="H62" s="4">
        <v>1496</v>
      </c>
      <c r="I62" s="4">
        <v>0</v>
      </c>
      <c r="J62" s="6">
        <v>45864</v>
      </c>
      <c r="K62" t="s">
        <v>579</v>
      </c>
      <c r="L62" s="5" t="s">
        <v>584</v>
      </c>
      <c r="M62" s="5" t="s">
        <v>585</v>
      </c>
      <c r="N62" s="7" t="str">
        <f t="shared" si="0"/>
        <v>2025</v>
      </c>
      <c r="O62" s="7" t="str">
        <f t="shared" si="1"/>
        <v>Jul</v>
      </c>
      <c r="P62" s="7" t="str">
        <f t="shared" si="2"/>
        <v>Sat</v>
      </c>
      <c r="Q62" t="str">
        <f t="shared" si="3"/>
        <v>Full Price</v>
      </c>
      <c r="R62" t="str">
        <f t="shared" si="4"/>
        <v>No Action</v>
      </c>
    </row>
    <row r="63" spans="1:18" x14ac:dyDescent="0.25">
      <c r="A63" s="4">
        <v>1062</v>
      </c>
      <c r="B63" s="5" t="s">
        <v>74</v>
      </c>
      <c r="C63" s="5" t="s">
        <v>514</v>
      </c>
      <c r="D63" s="5" t="s">
        <v>536</v>
      </c>
      <c r="E63" s="5" t="s">
        <v>571</v>
      </c>
      <c r="F63" s="5" t="s">
        <v>577</v>
      </c>
      <c r="G63" s="4">
        <v>11</v>
      </c>
      <c r="H63" s="4">
        <v>296</v>
      </c>
      <c r="I63" s="4">
        <v>10</v>
      </c>
      <c r="J63" s="6">
        <v>45859</v>
      </c>
      <c r="K63" t="s">
        <v>578</v>
      </c>
      <c r="L63" s="5" t="s">
        <v>584</v>
      </c>
      <c r="M63" s="5" t="s">
        <v>585</v>
      </c>
      <c r="N63" s="7" t="str">
        <f t="shared" si="0"/>
        <v>2025</v>
      </c>
      <c r="O63" s="7" t="str">
        <f t="shared" si="1"/>
        <v>Jul</v>
      </c>
      <c r="P63" s="7" t="str">
        <f t="shared" si="2"/>
        <v>Mon</v>
      </c>
      <c r="Q63" t="str">
        <f t="shared" si="3"/>
        <v>Discounted</v>
      </c>
      <c r="R63" t="str">
        <f t="shared" si="4"/>
        <v>No Action</v>
      </c>
    </row>
    <row r="64" spans="1:18" x14ac:dyDescent="0.25">
      <c r="A64" s="4">
        <v>1063</v>
      </c>
      <c r="B64" s="5" t="s">
        <v>75</v>
      </c>
      <c r="C64" s="5" t="s">
        <v>514</v>
      </c>
      <c r="D64" s="5" t="s">
        <v>546</v>
      </c>
      <c r="E64" s="5" t="s">
        <v>570</v>
      </c>
      <c r="F64" s="5" t="s">
        <v>575</v>
      </c>
      <c r="G64" s="4">
        <v>20</v>
      </c>
      <c r="H64" s="4">
        <v>8</v>
      </c>
      <c r="I64" s="4">
        <v>5</v>
      </c>
      <c r="J64" s="6">
        <v>45693</v>
      </c>
      <c r="K64" t="s">
        <v>580</v>
      </c>
      <c r="L64" s="5" t="s">
        <v>584</v>
      </c>
      <c r="M64" s="5" t="s">
        <v>586</v>
      </c>
      <c r="N64" s="7" t="str">
        <f t="shared" si="0"/>
        <v>2025</v>
      </c>
      <c r="O64" s="7" t="str">
        <f t="shared" si="1"/>
        <v>Feb</v>
      </c>
      <c r="P64" s="7" t="str">
        <f t="shared" si="2"/>
        <v>Wed</v>
      </c>
      <c r="Q64" t="str">
        <f t="shared" si="3"/>
        <v>Discounted</v>
      </c>
      <c r="R64" t="str">
        <f t="shared" si="4"/>
        <v>Check Return Policy</v>
      </c>
    </row>
    <row r="65" spans="1:18" x14ac:dyDescent="0.25">
      <c r="A65" s="4">
        <v>1064</v>
      </c>
      <c r="B65" s="5" t="s">
        <v>76</v>
      </c>
      <c r="C65" s="5" t="s">
        <v>511</v>
      </c>
      <c r="D65" s="5" t="s">
        <v>533</v>
      </c>
      <c r="E65" s="5" t="s">
        <v>571</v>
      </c>
      <c r="F65" s="5" t="s">
        <v>577</v>
      </c>
      <c r="G65" s="4">
        <v>19</v>
      </c>
      <c r="H65" s="4">
        <v>140</v>
      </c>
      <c r="I65" s="4">
        <v>0</v>
      </c>
      <c r="J65" s="6">
        <v>45897</v>
      </c>
      <c r="K65" t="s">
        <v>579</v>
      </c>
      <c r="L65" s="5" t="s">
        <v>584</v>
      </c>
      <c r="M65" s="5" t="s">
        <v>586</v>
      </c>
      <c r="N65" s="7" t="str">
        <f t="shared" si="0"/>
        <v>2025</v>
      </c>
      <c r="O65" s="7" t="str">
        <f t="shared" si="1"/>
        <v>Aug</v>
      </c>
      <c r="P65" s="7" t="str">
        <f t="shared" si="2"/>
        <v>Thu</v>
      </c>
      <c r="Q65" t="str">
        <f t="shared" si="3"/>
        <v>Full Price</v>
      </c>
      <c r="R65" t="str">
        <f t="shared" si="4"/>
        <v>Check Return Policy</v>
      </c>
    </row>
    <row r="66" spans="1:18" x14ac:dyDescent="0.25">
      <c r="A66" s="4">
        <v>1065</v>
      </c>
      <c r="B66" s="5" t="s">
        <v>77</v>
      </c>
      <c r="C66" s="5" t="s">
        <v>513</v>
      </c>
      <c r="D66" s="5" t="s">
        <v>528</v>
      </c>
      <c r="E66" s="5" t="s">
        <v>571</v>
      </c>
      <c r="F66" s="5" t="s">
        <v>577</v>
      </c>
      <c r="G66" s="4">
        <v>10</v>
      </c>
      <c r="H66" s="4">
        <v>300</v>
      </c>
      <c r="I66" s="4">
        <v>5</v>
      </c>
      <c r="J66" s="6">
        <v>45711</v>
      </c>
      <c r="K66" t="s">
        <v>579</v>
      </c>
      <c r="L66" s="5" t="s">
        <v>582</v>
      </c>
      <c r="M66" s="5" t="s">
        <v>586</v>
      </c>
      <c r="N66" s="7" t="str">
        <f t="shared" si="0"/>
        <v>2025</v>
      </c>
      <c r="O66" s="7" t="str">
        <f t="shared" si="1"/>
        <v>Feb</v>
      </c>
      <c r="P66" s="7" t="str">
        <f t="shared" si="2"/>
        <v>Sun</v>
      </c>
      <c r="Q66" t="str">
        <f t="shared" si="3"/>
        <v>Discounted</v>
      </c>
      <c r="R66" t="str">
        <f t="shared" si="4"/>
        <v>Check Return Policy</v>
      </c>
    </row>
    <row r="67" spans="1:18" x14ac:dyDescent="0.25">
      <c r="A67" s="4">
        <v>1066</v>
      </c>
      <c r="B67" s="5" t="s">
        <v>78</v>
      </c>
      <c r="C67" s="5" t="s">
        <v>511</v>
      </c>
      <c r="D67" s="5" t="s">
        <v>526</v>
      </c>
      <c r="E67" s="5" t="s">
        <v>574</v>
      </c>
      <c r="F67" s="5" t="s">
        <v>576</v>
      </c>
      <c r="G67" s="4">
        <v>9</v>
      </c>
      <c r="H67" s="4">
        <v>119</v>
      </c>
      <c r="I67" s="4">
        <v>15</v>
      </c>
      <c r="J67" s="6">
        <v>45691</v>
      </c>
      <c r="K67" t="s">
        <v>578</v>
      </c>
      <c r="L67" s="5" t="s">
        <v>582</v>
      </c>
      <c r="M67" s="5" t="s">
        <v>585</v>
      </c>
      <c r="N67" s="7" t="str">
        <f t="shared" ref="N67:N130" si="5">TEXT(J67,"YYYY")</f>
        <v>2025</v>
      </c>
      <c r="O67" s="7" t="str">
        <f t="shared" ref="O67:O130" si="6">TEXT(J67,"mmm")</f>
        <v>Feb</v>
      </c>
      <c r="P67" s="7" t="str">
        <f t="shared" ref="P67:P130" si="7">TEXT(J67,"ddd")</f>
        <v>Mon</v>
      </c>
      <c r="Q67" t="str">
        <f t="shared" ref="Q67:Q130" si="8">IF(I67&gt;0,"Discounted","Full Price")</f>
        <v>Discounted</v>
      </c>
      <c r="R67" t="str">
        <f t="shared" ref="R67:R130" si="9">IF(M67="Yes","Check Return Policy","No Action")</f>
        <v>No Action</v>
      </c>
    </row>
    <row r="68" spans="1:18" x14ac:dyDescent="0.25">
      <c r="A68" s="4">
        <v>1067</v>
      </c>
      <c r="B68" s="5" t="s">
        <v>79</v>
      </c>
      <c r="C68" s="5" t="s">
        <v>513</v>
      </c>
      <c r="D68" s="5" t="s">
        <v>547</v>
      </c>
      <c r="E68" s="5" t="s">
        <v>565</v>
      </c>
      <c r="F68" s="5" t="s">
        <v>575</v>
      </c>
      <c r="G68" s="4">
        <v>8</v>
      </c>
      <c r="H68" s="4">
        <v>10</v>
      </c>
      <c r="I68" s="4">
        <v>0</v>
      </c>
      <c r="J68" s="6">
        <v>45927</v>
      </c>
      <c r="K68" t="s">
        <v>579</v>
      </c>
      <c r="L68" s="5" t="s">
        <v>582</v>
      </c>
      <c r="M68" s="5" t="s">
        <v>586</v>
      </c>
      <c r="N68" s="7" t="str">
        <f t="shared" si="5"/>
        <v>2025</v>
      </c>
      <c r="O68" s="7" t="str">
        <f t="shared" si="6"/>
        <v>Sep</v>
      </c>
      <c r="P68" s="7" t="str">
        <f t="shared" si="7"/>
        <v>Sat</v>
      </c>
      <c r="Q68" t="str">
        <f t="shared" si="8"/>
        <v>Full Price</v>
      </c>
      <c r="R68" t="str">
        <f t="shared" si="9"/>
        <v>Check Return Policy</v>
      </c>
    </row>
    <row r="69" spans="1:18" x14ac:dyDescent="0.25">
      <c r="A69" s="4">
        <v>1068</v>
      </c>
      <c r="B69" s="5" t="s">
        <v>80</v>
      </c>
      <c r="C69" s="5" t="s">
        <v>514</v>
      </c>
      <c r="D69" s="5" t="s">
        <v>524</v>
      </c>
      <c r="E69" s="5" t="s">
        <v>568</v>
      </c>
      <c r="F69" s="5" t="s">
        <v>577</v>
      </c>
      <c r="G69" s="4">
        <v>4</v>
      </c>
      <c r="H69" s="4">
        <v>265</v>
      </c>
      <c r="I69" s="4">
        <v>5</v>
      </c>
      <c r="J69" s="6">
        <v>45910</v>
      </c>
      <c r="K69" t="s">
        <v>579</v>
      </c>
      <c r="L69" s="5" t="s">
        <v>584</v>
      </c>
      <c r="M69" s="5" t="s">
        <v>585</v>
      </c>
      <c r="N69" s="7" t="str">
        <f t="shared" si="5"/>
        <v>2025</v>
      </c>
      <c r="O69" s="7" t="str">
        <f t="shared" si="6"/>
        <v>Sep</v>
      </c>
      <c r="P69" s="7" t="str">
        <f t="shared" si="7"/>
        <v>Wed</v>
      </c>
      <c r="Q69" t="str">
        <f t="shared" si="8"/>
        <v>Discounted</v>
      </c>
      <c r="R69" t="str">
        <f t="shared" si="9"/>
        <v>No Action</v>
      </c>
    </row>
    <row r="70" spans="1:18" x14ac:dyDescent="0.25">
      <c r="A70" s="4">
        <v>1069</v>
      </c>
      <c r="B70" s="5" t="s">
        <v>81</v>
      </c>
      <c r="C70" s="5" t="s">
        <v>513</v>
      </c>
      <c r="D70" s="5" t="s">
        <v>537</v>
      </c>
      <c r="E70" s="5" t="s">
        <v>574</v>
      </c>
      <c r="F70" s="5" t="s">
        <v>576</v>
      </c>
      <c r="G70" s="4">
        <v>18</v>
      </c>
      <c r="H70" s="4">
        <v>50</v>
      </c>
      <c r="I70" s="4">
        <v>0</v>
      </c>
      <c r="J70" s="6">
        <v>45922</v>
      </c>
      <c r="K70" t="s">
        <v>581</v>
      </c>
      <c r="L70" s="5" t="s">
        <v>584</v>
      </c>
      <c r="M70" s="5" t="s">
        <v>586</v>
      </c>
      <c r="N70" s="7" t="str">
        <f t="shared" si="5"/>
        <v>2025</v>
      </c>
      <c r="O70" s="7" t="str">
        <f t="shared" si="6"/>
        <v>Sep</v>
      </c>
      <c r="P70" s="7" t="str">
        <f t="shared" si="7"/>
        <v>Mon</v>
      </c>
      <c r="Q70" t="str">
        <f t="shared" si="8"/>
        <v>Full Price</v>
      </c>
      <c r="R70" t="str">
        <f t="shared" si="9"/>
        <v>Check Return Policy</v>
      </c>
    </row>
    <row r="71" spans="1:18" x14ac:dyDescent="0.25">
      <c r="A71" s="4">
        <v>1070</v>
      </c>
      <c r="B71" s="5" t="s">
        <v>82</v>
      </c>
      <c r="C71" s="5" t="s">
        <v>512</v>
      </c>
      <c r="D71" s="5" t="s">
        <v>546</v>
      </c>
      <c r="E71" s="5" t="s">
        <v>567</v>
      </c>
      <c r="F71" s="5" t="s">
        <v>576</v>
      </c>
      <c r="G71" s="4">
        <v>14</v>
      </c>
      <c r="H71" s="4">
        <v>1064</v>
      </c>
      <c r="I71" s="4">
        <v>5</v>
      </c>
      <c r="J71" s="6">
        <v>45943</v>
      </c>
      <c r="K71" t="s">
        <v>581</v>
      </c>
      <c r="L71" s="5" t="s">
        <v>584</v>
      </c>
      <c r="M71" s="5" t="s">
        <v>586</v>
      </c>
      <c r="N71" s="7" t="str">
        <f t="shared" si="5"/>
        <v>2025</v>
      </c>
      <c r="O71" s="7" t="str">
        <f t="shared" si="6"/>
        <v>Oct</v>
      </c>
      <c r="P71" s="7" t="str">
        <f t="shared" si="7"/>
        <v>Mon</v>
      </c>
      <c r="Q71" t="str">
        <f t="shared" si="8"/>
        <v>Discounted</v>
      </c>
      <c r="R71" t="str">
        <f t="shared" si="9"/>
        <v>Check Return Policy</v>
      </c>
    </row>
    <row r="72" spans="1:18" x14ac:dyDescent="0.25">
      <c r="A72" s="4">
        <v>1071</v>
      </c>
      <c r="B72" s="5" t="s">
        <v>83</v>
      </c>
      <c r="C72" s="5" t="s">
        <v>514</v>
      </c>
      <c r="D72" s="5" t="s">
        <v>542</v>
      </c>
      <c r="E72" s="5" t="s">
        <v>568</v>
      </c>
      <c r="F72" s="5" t="s">
        <v>577</v>
      </c>
      <c r="G72" s="4">
        <v>12</v>
      </c>
      <c r="H72" s="4">
        <v>296</v>
      </c>
      <c r="I72" s="4">
        <v>0</v>
      </c>
      <c r="J72" s="6">
        <v>45940</v>
      </c>
      <c r="K72" t="s">
        <v>581</v>
      </c>
      <c r="L72" s="5" t="s">
        <v>583</v>
      </c>
      <c r="M72" s="5" t="s">
        <v>586</v>
      </c>
      <c r="N72" s="7" t="str">
        <f t="shared" si="5"/>
        <v>2025</v>
      </c>
      <c r="O72" s="7" t="str">
        <f t="shared" si="6"/>
        <v>Oct</v>
      </c>
      <c r="P72" s="7" t="str">
        <f t="shared" si="7"/>
        <v>Fri</v>
      </c>
      <c r="Q72" t="str">
        <f t="shared" si="8"/>
        <v>Full Price</v>
      </c>
      <c r="R72" t="str">
        <f t="shared" si="9"/>
        <v>Check Return Policy</v>
      </c>
    </row>
    <row r="73" spans="1:18" x14ac:dyDescent="0.25">
      <c r="A73" s="4">
        <v>1072</v>
      </c>
      <c r="B73" s="5" t="s">
        <v>84</v>
      </c>
      <c r="C73" s="5" t="s">
        <v>513</v>
      </c>
      <c r="D73" s="5" t="s">
        <v>526</v>
      </c>
      <c r="E73" s="5" t="s">
        <v>569</v>
      </c>
      <c r="F73" s="5" t="s">
        <v>576</v>
      </c>
      <c r="G73" s="4">
        <v>17</v>
      </c>
      <c r="H73" s="4">
        <v>481</v>
      </c>
      <c r="I73" s="4">
        <v>5</v>
      </c>
      <c r="J73" s="6">
        <v>45781</v>
      </c>
      <c r="K73" t="s">
        <v>578</v>
      </c>
      <c r="L73" s="5" t="s">
        <v>582</v>
      </c>
      <c r="M73" s="5" t="s">
        <v>586</v>
      </c>
      <c r="N73" s="7" t="str">
        <f t="shared" si="5"/>
        <v>2025</v>
      </c>
      <c r="O73" s="7" t="str">
        <f t="shared" si="6"/>
        <v>May</v>
      </c>
      <c r="P73" s="7" t="str">
        <f t="shared" si="7"/>
        <v>Sun</v>
      </c>
      <c r="Q73" t="str">
        <f t="shared" si="8"/>
        <v>Discounted</v>
      </c>
      <c r="R73" t="str">
        <f t="shared" si="9"/>
        <v>Check Return Policy</v>
      </c>
    </row>
    <row r="74" spans="1:18" x14ac:dyDescent="0.25">
      <c r="A74" s="4">
        <v>1073</v>
      </c>
      <c r="B74" s="5" t="s">
        <v>85</v>
      </c>
      <c r="C74" s="5" t="s">
        <v>513</v>
      </c>
      <c r="D74" s="5" t="s">
        <v>548</v>
      </c>
      <c r="E74" s="5" t="s">
        <v>566</v>
      </c>
      <c r="F74" s="5" t="s">
        <v>576</v>
      </c>
      <c r="G74" s="4">
        <v>16</v>
      </c>
      <c r="H74" s="4">
        <v>319</v>
      </c>
      <c r="I74" s="4">
        <v>15</v>
      </c>
      <c r="J74" s="6">
        <v>45965</v>
      </c>
      <c r="K74" t="s">
        <v>580</v>
      </c>
      <c r="L74" s="5" t="s">
        <v>584</v>
      </c>
      <c r="M74" s="5" t="s">
        <v>585</v>
      </c>
      <c r="N74" s="7" t="str">
        <f t="shared" si="5"/>
        <v>2025</v>
      </c>
      <c r="O74" s="7" t="str">
        <f t="shared" si="6"/>
        <v>Nov</v>
      </c>
      <c r="P74" s="7" t="str">
        <f t="shared" si="7"/>
        <v>Tue</v>
      </c>
      <c r="Q74" t="str">
        <f t="shared" si="8"/>
        <v>Discounted</v>
      </c>
      <c r="R74" t="str">
        <f t="shared" si="9"/>
        <v>No Action</v>
      </c>
    </row>
    <row r="75" spans="1:18" x14ac:dyDescent="0.25">
      <c r="A75" s="4">
        <v>1074</v>
      </c>
      <c r="B75" s="5" t="s">
        <v>86</v>
      </c>
      <c r="C75" s="5" t="s">
        <v>512</v>
      </c>
      <c r="D75" s="5" t="s">
        <v>549</v>
      </c>
      <c r="E75" s="5" t="s">
        <v>573</v>
      </c>
      <c r="F75" s="5" t="s">
        <v>576</v>
      </c>
      <c r="G75" s="4">
        <v>20</v>
      </c>
      <c r="H75" s="4">
        <v>148</v>
      </c>
      <c r="I75" s="4">
        <v>5</v>
      </c>
      <c r="J75" s="6">
        <v>45962</v>
      </c>
      <c r="K75" t="s">
        <v>581</v>
      </c>
      <c r="L75" s="5" t="s">
        <v>582</v>
      </c>
      <c r="M75" s="5" t="s">
        <v>586</v>
      </c>
      <c r="N75" s="7" t="str">
        <f t="shared" si="5"/>
        <v>2025</v>
      </c>
      <c r="O75" s="7" t="str">
        <f t="shared" si="6"/>
        <v>Nov</v>
      </c>
      <c r="P75" s="7" t="str">
        <f t="shared" si="7"/>
        <v>Sat</v>
      </c>
      <c r="Q75" t="str">
        <f t="shared" si="8"/>
        <v>Discounted</v>
      </c>
      <c r="R75" t="str">
        <f t="shared" si="9"/>
        <v>Check Return Policy</v>
      </c>
    </row>
    <row r="76" spans="1:18" x14ac:dyDescent="0.25">
      <c r="A76" s="4">
        <v>1075</v>
      </c>
      <c r="B76" s="5" t="s">
        <v>87</v>
      </c>
      <c r="C76" s="5" t="s">
        <v>511</v>
      </c>
      <c r="D76" s="5" t="s">
        <v>524</v>
      </c>
      <c r="E76" s="5" t="s">
        <v>572</v>
      </c>
      <c r="F76" s="5" t="s">
        <v>577</v>
      </c>
      <c r="G76" s="4">
        <v>2</v>
      </c>
      <c r="H76" s="4">
        <v>178</v>
      </c>
      <c r="I76" s="4">
        <v>15</v>
      </c>
      <c r="J76" s="6">
        <v>45851</v>
      </c>
      <c r="K76" t="s">
        <v>580</v>
      </c>
      <c r="L76" s="5" t="s">
        <v>583</v>
      </c>
      <c r="M76" s="5" t="s">
        <v>586</v>
      </c>
      <c r="N76" s="7" t="str">
        <f t="shared" si="5"/>
        <v>2025</v>
      </c>
      <c r="O76" s="7" t="str">
        <f t="shared" si="6"/>
        <v>Jul</v>
      </c>
      <c r="P76" s="7" t="str">
        <f t="shared" si="7"/>
        <v>Sun</v>
      </c>
      <c r="Q76" t="str">
        <f t="shared" si="8"/>
        <v>Discounted</v>
      </c>
      <c r="R76" t="str">
        <f t="shared" si="9"/>
        <v>Check Return Policy</v>
      </c>
    </row>
    <row r="77" spans="1:18" x14ac:dyDescent="0.25">
      <c r="A77" s="4">
        <v>1076</v>
      </c>
      <c r="B77" s="5" t="s">
        <v>88</v>
      </c>
      <c r="C77" s="5" t="s">
        <v>514</v>
      </c>
      <c r="D77" s="5" t="s">
        <v>535</v>
      </c>
      <c r="E77" s="5" t="s">
        <v>566</v>
      </c>
      <c r="F77" s="5" t="s">
        <v>576</v>
      </c>
      <c r="G77" s="4">
        <v>20</v>
      </c>
      <c r="H77" s="4">
        <v>323</v>
      </c>
      <c r="I77" s="4">
        <v>0</v>
      </c>
      <c r="J77" s="6">
        <v>45794</v>
      </c>
      <c r="K77" t="s">
        <v>579</v>
      </c>
      <c r="L77" s="5" t="s">
        <v>582</v>
      </c>
      <c r="M77" s="5" t="s">
        <v>586</v>
      </c>
      <c r="N77" s="7" t="str">
        <f t="shared" si="5"/>
        <v>2025</v>
      </c>
      <c r="O77" s="7" t="str">
        <f t="shared" si="6"/>
        <v>May</v>
      </c>
      <c r="P77" s="7" t="str">
        <f t="shared" si="7"/>
        <v>Sat</v>
      </c>
      <c r="Q77" t="str">
        <f t="shared" si="8"/>
        <v>Full Price</v>
      </c>
      <c r="R77" t="str">
        <f t="shared" si="9"/>
        <v>Check Return Policy</v>
      </c>
    </row>
    <row r="78" spans="1:18" x14ac:dyDescent="0.25">
      <c r="A78" s="4">
        <v>1077</v>
      </c>
      <c r="B78" s="5" t="s">
        <v>89</v>
      </c>
      <c r="C78" s="5" t="s">
        <v>511</v>
      </c>
      <c r="D78" s="5" t="s">
        <v>527</v>
      </c>
      <c r="E78" s="5" t="s">
        <v>565</v>
      </c>
      <c r="F78" s="5" t="s">
        <v>575</v>
      </c>
      <c r="G78" s="4">
        <v>12</v>
      </c>
      <c r="H78" s="4">
        <v>9</v>
      </c>
      <c r="I78" s="4">
        <v>15</v>
      </c>
      <c r="J78" s="6">
        <v>45700</v>
      </c>
      <c r="K78" t="s">
        <v>579</v>
      </c>
      <c r="L78" s="5" t="s">
        <v>582</v>
      </c>
      <c r="M78" s="5" t="s">
        <v>585</v>
      </c>
      <c r="N78" s="7" t="str">
        <f t="shared" si="5"/>
        <v>2025</v>
      </c>
      <c r="O78" s="7" t="str">
        <f t="shared" si="6"/>
        <v>Feb</v>
      </c>
      <c r="P78" s="7" t="str">
        <f t="shared" si="7"/>
        <v>Wed</v>
      </c>
      <c r="Q78" t="str">
        <f t="shared" si="8"/>
        <v>Discounted</v>
      </c>
      <c r="R78" t="str">
        <f t="shared" si="9"/>
        <v>No Action</v>
      </c>
    </row>
    <row r="79" spans="1:18" x14ac:dyDescent="0.25">
      <c r="A79" s="4">
        <v>1078</v>
      </c>
      <c r="B79" s="5" t="s">
        <v>90</v>
      </c>
      <c r="C79" s="5" t="s">
        <v>513</v>
      </c>
      <c r="D79" s="5" t="s">
        <v>533</v>
      </c>
      <c r="E79" s="5" t="s">
        <v>568</v>
      </c>
      <c r="F79" s="5" t="s">
        <v>577</v>
      </c>
      <c r="G79" s="4">
        <v>6</v>
      </c>
      <c r="H79" s="4">
        <v>254</v>
      </c>
      <c r="I79" s="4">
        <v>15</v>
      </c>
      <c r="J79" s="6">
        <v>45937</v>
      </c>
      <c r="K79" t="s">
        <v>580</v>
      </c>
      <c r="L79" s="5" t="s">
        <v>582</v>
      </c>
      <c r="M79" s="5" t="s">
        <v>585</v>
      </c>
      <c r="N79" s="7" t="str">
        <f t="shared" si="5"/>
        <v>2025</v>
      </c>
      <c r="O79" s="7" t="str">
        <f t="shared" si="6"/>
        <v>Oct</v>
      </c>
      <c r="P79" s="7" t="str">
        <f t="shared" si="7"/>
        <v>Tue</v>
      </c>
      <c r="Q79" t="str">
        <f t="shared" si="8"/>
        <v>Discounted</v>
      </c>
      <c r="R79" t="str">
        <f t="shared" si="9"/>
        <v>No Action</v>
      </c>
    </row>
    <row r="80" spans="1:18" x14ac:dyDescent="0.25">
      <c r="A80" s="4">
        <v>1079</v>
      </c>
      <c r="B80" s="5" t="s">
        <v>91</v>
      </c>
      <c r="C80" s="5" t="s">
        <v>512</v>
      </c>
      <c r="D80" s="5" t="s">
        <v>538</v>
      </c>
      <c r="E80" s="5" t="s">
        <v>569</v>
      </c>
      <c r="F80" s="5" t="s">
        <v>576</v>
      </c>
      <c r="G80" s="4">
        <v>13</v>
      </c>
      <c r="H80" s="4">
        <v>591</v>
      </c>
      <c r="I80" s="4">
        <v>10</v>
      </c>
      <c r="J80" s="6">
        <v>45686</v>
      </c>
      <c r="K80" t="s">
        <v>581</v>
      </c>
      <c r="L80" s="5" t="s">
        <v>582</v>
      </c>
      <c r="M80" s="5" t="s">
        <v>585</v>
      </c>
      <c r="N80" s="7" t="str">
        <f t="shared" si="5"/>
        <v>2025</v>
      </c>
      <c r="O80" s="7" t="str">
        <f t="shared" si="6"/>
        <v>Jan</v>
      </c>
      <c r="P80" s="7" t="str">
        <f t="shared" si="7"/>
        <v>Wed</v>
      </c>
      <c r="Q80" t="str">
        <f t="shared" si="8"/>
        <v>Discounted</v>
      </c>
      <c r="R80" t="str">
        <f t="shared" si="9"/>
        <v>No Action</v>
      </c>
    </row>
    <row r="81" spans="1:18" x14ac:dyDescent="0.25">
      <c r="A81" s="4">
        <v>1080</v>
      </c>
      <c r="B81" s="5" t="s">
        <v>92</v>
      </c>
      <c r="C81" s="5" t="s">
        <v>511</v>
      </c>
      <c r="D81" s="5" t="s">
        <v>550</v>
      </c>
      <c r="E81" s="5" t="s">
        <v>570</v>
      </c>
      <c r="F81" s="5" t="s">
        <v>575</v>
      </c>
      <c r="G81" s="4">
        <v>10</v>
      </c>
      <c r="H81" s="4">
        <v>7</v>
      </c>
      <c r="I81" s="4">
        <v>5</v>
      </c>
      <c r="J81" s="6">
        <v>45792</v>
      </c>
      <c r="K81" t="s">
        <v>581</v>
      </c>
      <c r="L81" s="5" t="s">
        <v>582</v>
      </c>
      <c r="M81" s="5" t="s">
        <v>586</v>
      </c>
      <c r="N81" s="7" t="str">
        <f t="shared" si="5"/>
        <v>2025</v>
      </c>
      <c r="O81" s="7" t="str">
        <f t="shared" si="6"/>
        <v>May</v>
      </c>
      <c r="P81" s="7" t="str">
        <f t="shared" si="7"/>
        <v>Thu</v>
      </c>
      <c r="Q81" t="str">
        <f t="shared" si="8"/>
        <v>Discounted</v>
      </c>
      <c r="R81" t="str">
        <f t="shared" si="9"/>
        <v>Check Return Policy</v>
      </c>
    </row>
    <row r="82" spans="1:18" x14ac:dyDescent="0.25">
      <c r="A82" s="4">
        <v>1081</v>
      </c>
      <c r="B82" s="5" t="s">
        <v>93</v>
      </c>
      <c r="C82" s="5" t="s">
        <v>513</v>
      </c>
      <c r="D82" s="5" t="s">
        <v>537</v>
      </c>
      <c r="E82" s="5" t="s">
        <v>565</v>
      </c>
      <c r="F82" s="5" t="s">
        <v>575</v>
      </c>
      <c r="G82" s="4">
        <v>18</v>
      </c>
      <c r="H82" s="4">
        <v>10</v>
      </c>
      <c r="I82" s="4">
        <v>15</v>
      </c>
      <c r="J82" s="6">
        <v>45905</v>
      </c>
      <c r="K82" t="s">
        <v>581</v>
      </c>
      <c r="L82" s="5" t="s">
        <v>582</v>
      </c>
      <c r="M82" s="5" t="s">
        <v>585</v>
      </c>
      <c r="N82" s="7" t="str">
        <f t="shared" si="5"/>
        <v>2025</v>
      </c>
      <c r="O82" s="7" t="str">
        <f t="shared" si="6"/>
        <v>Sep</v>
      </c>
      <c r="P82" s="7" t="str">
        <f t="shared" si="7"/>
        <v>Fri</v>
      </c>
      <c r="Q82" t="str">
        <f t="shared" si="8"/>
        <v>Discounted</v>
      </c>
      <c r="R82" t="str">
        <f t="shared" si="9"/>
        <v>No Action</v>
      </c>
    </row>
    <row r="83" spans="1:18" x14ac:dyDescent="0.25">
      <c r="A83" s="4">
        <v>1082</v>
      </c>
      <c r="B83" s="5" t="s">
        <v>94</v>
      </c>
      <c r="C83" s="5" t="s">
        <v>511</v>
      </c>
      <c r="D83" s="5" t="s">
        <v>517</v>
      </c>
      <c r="E83" s="5" t="s">
        <v>566</v>
      </c>
      <c r="F83" s="5" t="s">
        <v>576</v>
      </c>
      <c r="G83" s="4">
        <v>11</v>
      </c>
      <c r="H83" s="4">
        <v>301</v>
      </c>
      <c r="I83" s="4">
        <v>15</v>
      </c>
      <c r="J83" s="6">
        <v>45879</v>
      </c>
      <c r="K83" t="s">
        <v>579</v>
      </c>
      <c r="L83" s="5" t="s">
        <v>582</v>
      </c>
      <c r="M83" s="5" t="s">
        <v>585</v>
      </c>
      <c r="N83" s="7" t="str">
        <f t="shared" si="5"/>
        <v>2025</v>
      </c>
      <c r="O83" s="7" t="str">
        <f t="shared" si="6"/>
        <v>Aug</v>
      </c>
      <c r="P83" s="7" t="str">
        <f t="shared" si="7"/>
        <v>Sun</v>
      </c>
      <c r="Q83" t="str">
        <f t="shared" si="8"/>
        <v>Discounted</v>
      </c>
      <c r="R83" t="str">
        <f t="shared" si="9"/>
        <v>No Action</v>
      </c>
    </row>
    <row r="84" spans="1:18" x14ac:dyDescent="0.25">
      <c r="A84" s="4">
        <v>1083</v>
      </c>
      <c r="B84" s="5" t="s">
        <v>95</v>
      </c>
      <c r="C84" s="5" t="s">
        <v>513</v>
      </c>
      <c r="D84" s="5" t="s">
        <v>532</v>
      </c>
      <c r="E84" s="5" t="s">
        <v>572</v>
      </c>
      <c r="F84" s="5" t="s">
        <v>577</v>
      </c>
      <c r="G84" s="4">
        <v>17</v>
      </c>
      <c r="H84" s="4">
        <v>101</v>
      </c>
      <c r="I84" s="4">
        <v>5</v>
      </c>
      <c r="J84" s="6">
        <v>45752</v>
      </c>
      <c r="K84" t="s">
        <v>578</v>
      </c>
      <c r="L84" s="5" t="s">
        <v>582</v>
      </c>
      <c r="M84" s="5" t="s">
        <v>585</v>
      </c>
      <c r="N84" s="7" t="str">
        <f t="shared" si="5"/>
        <v>2025</v>
      </c>
      <c r="O84" s="7" t="str">
        <f t="shared" si="6"/>
        <v>Apr</v>
      </c>
      <c r="P84" s="7" t="str">
        <f t="shared" si="7"/>
        <v>Sat</v>
      </c>
      <c r="Q84" t="str">
        <f t="shared" si="8"/>
        <v>Discounted</v>
      </c>
      <c r="R84" t="str">
        <f t="shared" si="9"/>
        <v>No Action</v>
      </c>
    </row>
    <row r="85" spans="1:18" x14ac:dyDescent="0.25">
      <c r="A85" s="4">
        <v>1084</v>
      </c>
      <c r="B85" s="5" t="s">
        <v>96</v>
      </c>
      <c r="C85" s="5" t="s">
        <v>514</v>
      </c>
      <c r="D85" s="5" t="s">
        <v>542</v>
      </c>
      <c r="E85" s="5" t="s">
        <v>569</v>
      </c>
      <c r="F85" s="5" t="s">
        <v>576</v>
      </c>
      <c r="G85" s="4">
        <v>1</v>
      </c>
      <c r="H85" s="4">
        <v>494</v>
      </c>
      <c r="I85" s="4">
        <v>10</v>
      </c>
      <c r="J85" s="6">
        <v>45899</v>
      </c>
      <c r="K85" t="s">
        <v>578</v>
      </c>
      <c r="L85" s="5" t="s">
        <v>584</v>
      </c>
      <c r="M85" s="5" t="s">
        <v>585</v>
      </c>
      <c r="N85" s="7" t="str">
        <f t="shared" si="5"/>
        <v>2025</v>
      </c>
      <c r="O85" s="7" t="str">
        <f t="shared" si="6"/>
        <v>Aug</v>
      </c>
      <c r="P85" s="7" t="str">
        <f t="shared" si="7"/>
        <v>Sat</v>
      </c>
      <c r="Q85" t="str">
        <f t="shared" si="8"/>
        <v>Discounted</v>
      </c>
      <c r="R85" t="str">
        <f t="shared" si="9"/>
        <v>No Action</v>
      </c>
    </row>
    <row r="86" spans="1:18" x14ac:dyDescent="0.25">
      <c r="A86" s="4">
        <v>1085</v>
      </c>
      <c r="B86" s="5" t="s">
        <v>97</v>
      </c>
      <c r="C86" s="5" t="s">
        <v>514</v>
      </c>
      <c r="D86" s="5" t="s">
        <v>521</v>
      </c>
      <c r="E86" s="5" t="s">
        <v>572</v>
      </c>
      <c r="F86" s="5" t="s">
        <v>577</v>
      </c>
      <c r="G86" s="4">
        <v>16</v>
      </c>
      <c r="H86" s="4">
        <v>91</v>
      </c>
      <c r="I86" s="4">
        <v>5</v>
      </c>
      <c r="J86" s="6">
        <v>45865</v>
      </c>
      <c r="K86" t="s">
        <v>581</v>
      </c>
      <c r="L86" s="5" t="s">
        <v>583</v>
      </c>
      <c r="M86" s="5" t="s">
        <v>586</v>
      </c>
      <c r="N86" s="7" t="str">
        <f t="shared" si="5"/>
        <v>2025</v>
      </c>
      <c r="O86" s="7" t="str">
        <f t="shared" si="6"/>
        <v>Jul</v>
      </c>
      <c r="P86" s="7" t="str">
        <f t="shared" si="7"/>
        <v>Sun</v>
      </c>
      <c r="Q86" t="str">
        <f t="shared" si="8"/>
        <v>Discounted</v>
      </c>
      <c r="R86" t="str">
        <f t="shared" si="9"/>
        <v>Check Return Policy</v>
      </c>
    </row>
    <row r="87" spans="1:18" x14ac:dyDescent="0.25">
      <c r="A87" s="4">
        <v>1086</v>
      </c>
      <c r="B87" s="5" t="s">
        <v>98</v>
      </c>
      <c r="C87" s="5" t="s">
        <v>511</v>
      </c>
      <c r="D87" s="5" t="s">
        <v>550</v>
      </c>
      <c r="E87" s="5" t="s">
        <v>568</v>
      </c>
      <c r="F87" s="5" t="s">
        <v>577</v>
      </c>
      <c r="G87" s="4">
        <v>10</v>
      </c>
      <c r="H87" s="4">
        <v>339</v>
      </c>
      <c r="I87" s="4">
        <v>15</v>
      </c>
      <c r="J87" s="6">
        <v>45784</v>
      </c>
      <c r="K87" t="s">
        <v>580</v>
      </c>
      <c r="L87" s="5" t="s">
        <v>583</v>
      </c>
      <c r="M87" s="5" t="s">
        <v>585</v>
      </c>
      <c r="N87" s="7" t="str">
        <f t="shared" si="5"/>
        <v>2025</v>
      </c>
      <c r="O87" s="7" t="str">
        <f t="shared" si="6"/>
        <v>May</v>
      </c>
      <c r="P87" s="7" t="str">
        <f t="shared" si="7"/>
        <v>Wed</v>
      </c>
      <c r="Q87" t="str">
        <f t="shared" si="8"/>
        <v>Discounted</v>
      </c>
      <c r="R87" t="str">
        <f t="shared" si="9"/>
        <v>No Action</v>
      </c>
    </row>
    <row r="88" spans="1:18" x14ac:dyDescent="0.25">
      <c r="A88" s="4">
        <v>1087</v>
      </c>
      <c r="B88" s="5" t="s">
        <v>99</v>
      </c>
      <c r="C88" s="5" t="s">
        <v>513</v>
      </c>
      <c r="D88" s="5" t="s">
        <v>515</v>
      </c>
      <c r="E88" s="5" t="s">
        <v>569</v>
      </c>
      <c r="F88" s="5" t="s">
        <v>576</v>
      </c>
      <c r="G88" s="4">
        <v>9</v>
      </c>
      <c r="H88" s="4">
        <v>619</v>
      </c>
      <c r="I88" s="4">
        <v>0</v>
      </c>
      <c r="J88" s="6">
        <v>45660</v>
      </c>
      <c r="K88" t="s">
        <v>580</v>
      </c>
      <c r="L88" s="5" t="s">
        <v>584</v>
      </c>
      <c r="M88" s="5" t="s">
        <v>586</v>
      </c>
      <c r="N88" s="7" t="str">
        <f t="shared" si="5"/>
        <v>2025</v>
      </c>
      <c r="O88" s="7" t="str">
        <f t="shared" si="6"/>
        <v>Jan</v>
      </c>
      <c r="P88" s="7" t="str">
        <f t="shared" si="7"/>
        <v>Fri</v>
      </c>
      <c r="Q88" t="str">
        <f t="shared" si="8"/>
        <v>Full Price</v>
      </c>
      <c r="R88" t="str">
        <f t="shared" si="9"/>
        <v>Check Return Policy</v>
      </c>
    </row>
    <row r="89" spans="1:18" x14ac:dyDescent="0.25">
      <c r="A89" s="4">
        <v>1088</v>
      </c>
      <c r="B89" s="5" t="s">
        <v>100</v>
      </c>
      <c r="C89" s="5" t="s">
        <v>514</v>
      </c>
      <c r="D89" s="5" t="s">
        <v>529</v>
      </c>
      <c r="E89" s="5" t="s">
        <v>566</v>
      </c>
      <c r="F89" s="5" t="s">
        <v>576</v>
      </c>
      <c r="G89" s="4">
        <v>16</v>
      </c>
      <c r="H89" s="4">
        <v>196</v>
      </c>
      <c r="I89" s="4">
        <v>15</v>
      </c>
      <c r="J89" s="6">
        <v>45808</v>
      </c>
      <c r="K89" t="s">
        <v>580</v>
      </c>
      <c r="L89" s="5" t="s">
        <v>584</v>
      </c>
      <c r="M89" s="5" t="s">
        <v>585</v>
      </c>
      <c r="N89" s="7" t="str">
        <f t="shared" si="5"/>
        <v>2025</v>
      </c>
      <c r="O89" s="7" t="str">
        <f t="shared" si="6"/>
        <v>May</v>
      </c>
      <c r="P89" s="7" t="str">
        <f t="shared" si="7"/>
        <v>Sat</v>
      </c>
      <c r="Q89" t="str">
        <f t="shared" si="8"/>
        <v>Discounted</v>
      </c>
      <c r="R89" t="str">
        <f t="shared" si="9"/>
        <v>No Action</v>
      </c>
    </row>
    <row r="90" spans="1:18" x14ac:dyDescent="0.25">
      <c r="A90" s="4">
        <v>1089</v>
      </c>
      <c r="B90" s="5" t="s">
        <v>101</v>
      </c>
      <c r="C90" s="5" t="s">
        <v>513</v>
      </c>
      <c r="D90" s="5" t="s">
        <v>551</v>
      </c>
      <c r="E90" s="5" t="s">
        <v>571</v>
      </c>
      <c r="F90" s="5" t="s">
        <v>577</v>
      </c>
      <c r="G90" s="4">
        <v>8</v>
      </c>
      <c r="H90" s="4">
        <v>184</v>
      </c>
      <c r="I90" s="4">
        <v>5</v>
      </c>
      <c r="J90" s="6">
        <v>45962</v>
      </c>
      <c r="K90" t="s">
        <v>579</v>
      </c>
      <c r="L90" s="5" t="s">
        <v>582</v>
      </c>
      <c r="M90" s="5" t="s">
        <v>586</v>
      </c>
      <c r="N90" s="7" t="str">
        <f t="shared" si="5"/>
        <v>2025</v>
      </c>
      <c r="O90" s="7" t="str">
        <f t="shared" si="6"/>
        <v>Nov</v>
      </c>
      <c r="P90" s="7" t="str">
        <f t="shared" si="7"/>
        <v>Sat</v>
      </c>
      <c r="Q90" t="str">
        <f t="shared" si="8"/>
        <v>Discounted</v>
      </c>
      <c r="R90" t="str">
        <f t="shared" si="9"/>
        <v>Check Return Policy</v>
      </c>
    </row>
    <row r="91" spans="1:18" x14ac:dyDescent="0.25">
      <c r="A91" s="4">
        <v>1090</v>
      </c>
      <c r="B91" s="5" t="s">
        <v>102</v>
      </c>
      <c r="C91" s="5" t="s">
        <v>511</v>
      </c>
      <c r="D91" s="5" t="s">
        <v>552</v>
      </c>
      <c r="E91" s="5" t="s">
        <v>566</v>
      </c>
      <c r="F91" s="5" t="s">
        <v>576</v>
      </c>
      <c r="G91" s="4">
        <v>3</v>
      </c>
      <c r="H91" s="4">
        <v>287</v>
      </c>
      <c r="I91" s="4">
        <v>5</v>
      </c>
      <c r="J91" s="6">
        <v>45757</v>
      </c>
      <c r="K91" t="s">
        <v>578</v>
      </c>
      <c r="L91" s="5" t="s">
        <v>583</v>
      </c>
      <c r="M91" s="5" t="s">
        <v>585</v>
      </c>
      <c r="N91" s="7" t="str">
        <f t="shared" si="5"/>
        <v>2025</v>
      </c>
      <c r="O91" s="7" t="str">
        <f t="shared" si="6"/>
        <v>Apr</v>
      </c>
      <c r="P91" s="7" t="str">
        <f t="shared" si="7"/>
        <v>Thu</v>
      </c>
      <c r="Q91" t="str">
        <f t="shared" si="8"/>
        <v>Discounted</v>
      </c>
      <c r="R91" t="str">
        <f t="shared" si="9"/>
        <v>No Action</v>
      </c>
    </row>
    <row r="92" spans="1:18" x14ac:dyDescent="0.25">
      <c r="A92" s="4">
        <v>1091</v>
      </c>
      <c r="B92" s="5" t="s">
        <v>103</v>
      </c>
      <c r="C92" s="5" t="s">
        <v>513</v>
      </c>
      <c r="D92" s="5" t="s">
        <v>550</v>
      </c>
      <c r="E92" s="5" t="s">
        <v>566</v>
      </c>
      <c r="F92" s="5" t="s">
        <v>576</v>
      </c>
      <c r="G92" s="4">
        <v>11</v>
      </c>
      <c r="H92" s="4">
        <v>496</v>
      </c>
      <c r="I92" s="4">
        <v>0</v>
      </c>
      <c r="J92" s="6">
        <v>45893</v>
      </c>
      <c r="K92" t="s">
        <v>578</v>
      </c>
      <c r="L92" s="5" t="s">
        <v>584</v>
      </c>
      <c r="M92" s="5" t="s">
        <v>586</v>
      </c>
      <c r="N92" s="7" t="str">
        <f t="shared" si="5"/>
        <v>2025</v>
      </c>
      <c r="O92" s="7" t="str">
        <f t="shared" si="6"/>
        <v>Aug</v>
      </c>
      <c r="P92" s="7" t="str">
        <f t="shared" si="7"/>
        <v>Sun</v>
      </c>
      <c r="Q92" t="str">
        <f t="shared" si="8"/>
        <v>Full Price</v>
      </c>
      <c r="R92" t="str">
        <f t="shared" si="9"/>
        <v>Check Return Policy</v>
      </c>
    </row>
    <row r="93" spans="1:18" x14ac:dyDescent="0.25">
      <c r="A93" s="4">
        <v>1092</v>
      </c>
      <c r="B93" s="5" t="s">
        <v>104</v>
      </c>
      <c r="C93" s="5" t="s">
        <v>512</v>
      </c>
      <c r="D93" s="5" t="s">
        <v>537</v>
      </c>
      <c r="E93" s="5" t="s">
        <v>573</v>
      </c>
      <c r="F93" s="5" t="s">
        <v>576</v>
      </c>
      <c r="G93" s="4">
        <v>3</v>
      </c>
      <c r="H93" s="4">
        <v>303</v>
      </c>
      <c r="I93" s="4">
        <v>5</v>
      </c>
      <c r="J93" s="6">
        <v>45897</v>
      </c>
      <c r="K93" t="s">
        <v>579</v>
      </c>
      <c r="L93" s="5" t="s">
        <v>583</v>
      </c>
      <c r="M93" s="5" t="s">
        <v>585</v>
      </c>
      <c r="N93" s="7" t="str">
        <f t="shared" si="5"/>
        <v>2025</v>
      </c>
      <c r="O93" s="7" t="str">
        <f t="shared" si="6"/>
        <v>Aug</v>
      </c>
      <c r="P93" s="7" t="str">
        <f t="shared" si="7"/>
        <v>Thu</v>
      </c>
      <c r="Q93" t="str">
        <f t="shared" si="8"/>
        <v>Discounted</v>
      </c>
      <c r="R93" t="str">
        <f t="shared" si="9"/>
        <v>No Action</v>
      </c>
    </row>
    <row r="94" spans="1:18" x14ac:dyDescent="0.25">
      <c r="A94" s="4">
        <v>1093</v>
      </c>
      <c r="B94" s="5" t="s">
        <v>105</v>
      </c>
      <c r="C94" s="5" t="s">
        <v>512</v>
      </c>
      <c r="D94" s="5" t="s">
        <v>552</v>
      </c>
      <c r="E94" s="5" t="s">
        <v>571</v>
      </c>
      <c r="F94" s="5" t="s">
        <v>577</v>
      </c>
      <c r="G94" s="4">
        <v>16</v>
      </c>
      <c r="H94" s="4">
        <v>85</v>
      </c>
      <c r="I94" s="4">
        <v>15</v>
      </c>
      <c r="J94" s="6">
        <v>45917</v>
      </c>
      <c r="K94" t="s">
        <v>578</v>
      </c>
      <c r="L94" s="5" t="s">
        <v>584</v>
      </c>
      <c r="M94" s="5" t="s">
        <v>586</v>
      </c>
      <c r="N94" s="7" t="str">
        <f t="shared" si="5"/>
        <v>2025</v>
      </c>
      <c r="O94" s="7" t="str">
        <f t="shared" si="6"/>
        <v>Sep</v>
      </c>
      <c r="P94" s="7" t="str">
        <f t="shared" si="7"/>
        <v>Wed</v>
      </c>
      <c r="Q94" t="str">
        <f t="shared" si="8"/>
        <v>Discounted</v>
      </c>
      <c r="R94" t="str">
        <f t="shared" si="9"/>
        <v>Check Return Policy</v>
      </c>
    </row>
    <row r="95" spans="1:18" x14ac:dyDescent="0.25">
      <c r="A95" s="4">
        <v>1094</v>
      </c>
      <c r="B95" s="5" t="s">
        <v>106</v>
      </c>
      <c r="C95" s="5" t="s">
        <v>511</v>
      </c>
      <c r="D95" s="5" t="s">
        <v>553</v>
      </c>
      <c r="E95" s="5" t="s">
        <v>574</v>
      </c>
      <c r="F95" s="5" t="s">
        <v>576</v>
      </c>
      <c r="G95" s="4">
        <v>17</v>
      </c>
      <c r="H95" s="4">
        <v>21</v>
      </c>
      <c r="I95" s="4">
        <v>0</v>
      </c>
      <c r="J95" s="6">
        <v>45785</v>
      </c>
      <c r="K95" t="s">
        <v>578</v>
      </c>
      <c r="L95" s="5" t="s">
        <v>582</v>
      </c>
      <c r="M95" s="5" t="s">
        <v>585</v>
      </c>
      <c r="N95" s="7" t="str">
        <f t="shared" si="5"/>
        <v>2025</v>
      </c>
      <c r="O95" s="7" t="str">
        <f t="shared" si="6"/>
        <v>May</v>
      </c>
      <c r="P95" s="7" t="str">
        <f t="shared" si="7"/>
        <v>Thu</v>
      </c>
      <c r="Q95" t="str">
        <f t="shared" si="8"/>
        <v>Full Price</v>
      </c>
      <c r="R95" t="str">
        <f t="shared" si="9"/>
        <v>No Action</v>
      </c>
    </row>
    <row r="96" spans="1:18" x14ac:dyDescent="0.25">
      <c r="A96" s="4">
        <v>1095</v>
      </c>
      <c r="B96" s="5" t="s">
        <v>107</v>
      </c>
      <c r="C96" s="5" t="s">
        <v>511</v>
      </c>
      <c r="D96" s="5" t="s">
        <v>550</v>
      </c>
      <c r="E96" s="5" t="s">
        <v>567</v>
      </c>
      <c r="F96" s="5" t="s">
        <v>576</v>
      </c>
      <c r="G96" s="4">
        <v>13</v>
      </c>
      <c r="H96" s="4">
        <v>1008</v>
      </c>
      <c r="I96" s="4">
        <v>15</v>
      </c>
      <c r="J96" s="6">
        <v>45824</v>
      </c>
      <c r="K96" t="s">
        <v>580</v>
      </c>
      <c r="L96" s="5" t="s">
        <v>583</v>
      </c>
      <c r="M96" s="5" t="s">
        <v>586</v>
      </c>
      <c r="N96" s="7" t="str">
        <f t="shared" si="5"/>
        <v>2025</v>
      </c>
      <c r="O96" s="7" t="str">
        <f t="shared" si="6"/>
        <v>Jun</v>
      </c>
      <c r="P96" s="7" t="str">
        <f t="shared" si="7"/>
        <v>Mon</v>
      </c>
      <c r="Q96" t="str">
        <f t="shared" si="8"/>
        <v>Discounted</v>
      </c>
      <c r="R96" t="str">
        <f t="shared" si="9"/>
        <v>Check Return Policy</v>
      </c>
    </row>
    <row r="97" spans="1:18" x14ac:dyDescent="0.25">
      <c r="A97" s="4">
        <v>1096</v>
      </c>
      <c r="B97" s="5" t="s">
        <v>108</v>
      </c>
      <c r="C97" s="5" t="s">
        <v>512</v>
      </c>
      <c r="D97" s="5" t="s">
        <v>554</v>
      </c>
      <c r="E97" s="5" t="s">
        <v>574</v>
      </c>
      <c r="F97" s="5" t="s">
        <v>576</v>
      </c>
      <c r="G97" s="4">
        <v>10</v>
      </c>
      <c r="H97" s="4">
        <v>44</v>
      </c>
      <c r="I97" s="4">
        <v>15</v>
      </c>
      <c r="J97" s="6">
        <v>45684</v>
      </c>
      <c r="K97" t="s">
        <v>578</v>
      </c>
      <c r="L97" s="5" t="s">
        <v>582</v>
      </c>
      <c r="M97" s="5" t="s">
        <v>585</v>
      </c>
      <c r="N97" s="7" t="str">
        <f t="shared" si="5"/>
        <v>2025</v>
      </c>
      <c r="O97" s="7" t="str">
        <f t="shared" si="6"/>
        <v>Jan</v>
      </c>
      <c r="P97" s="7" t="str">
        <f t="shared" si="7"/>
        <v>Mon</v>
      </c>
      <c r="Q97" t="str">
        <f t="shared" si="8"/>
        <v>Discounted</v>
      </c>
      <c r="R97" t="str">
        <f t="shared" si="9"/>
        <v>No Action</v>
      </c>
    </row>
    <row r="98" spans="1:18" x14ac:dyDescent="0.25">
      <c r="A98" s="4">
        <v>1097</v>
      </c>
      <c r="B98" s="5" t="s">
        <v>109</v>
      </c>
      <c r="C98" s="5" t="s">
        <v>514</v>
      </c>
      <c r="D98" s="5" t="s">
        <v>520</v>
      </c>
      <c r="E98" s="5" t="s">
        <v>567</v>
      </c>
      <c r="F98" s="5" t="s">
        <v>576</v>
      </c>
      <c r="G98" s="4">
        <v>19</v>
      </c>
      <c r="H98" s="4">
        <v>1426</v>
      </c>
      <c r="I98" s="4">
        <v>0</v>
      </c>
      <c r="J98" s="6">
        <v>45879</v>
      </c>
      <c r="K98" t="s">
        <v>579</v>
      </c>
      <c r="L98" s="5" t="s">
        <v>582</v>
      </c>
      <c r="M98" s="5" t="s">
        <v>586</v>
      </c>
      <c r="N98" s="7" t="str">
        <f t="shared" si="5"/>
        <v>2025</v>
      </c>
      <c r="O98" s="7" t="str">
        <f t="shared" si="6"/>
        <v>Aug</v>
      </c>
      <c r="P98" s="7" t="str">
        <f t="shared" si="7"/>
        <v>Sun</v>
      </c>
      <c r="Q98" t="str">
        <f t="shared" si="8"/>
        <v>Full Price</v>
      </c>
      <c r="R98" t="str">
        <f t="shared" si="9"/>
        <v>Check Return Policy</v>
      </c>
    </row>
    <row r="99" spans="1:18" x14ac:dyDescent="0.25">
      <c r="A99" s="4">
        <v>1098</v>
      </c>
      <c r="B99" s="5" t="s">
        <v>110</v>
      </c>
      <c r="C99" s="5" t="s">
        <v>511</v>
      </c>
      <c r="D99" s="5" t="s">
        <v>555</v>
      </c>
      <c r="E99" s="5" t="s">
        <v>571</v>
      </c>
      <c r="F99" s="5" t="s">
        <v>577</v>
      </c>
      <c r="G99" s="4">
        <v>3</v>
      </c>
      <c r="H99" s="4">
        <v>194</v>
      </c>
      <c r="I99" s="4">
        <v>5</v>
      </c>
      <c r="J99" s="6">
        <v>45708</v>
      </c>
      <c r="K99" t="s">
        <v>581</v>
      </c>
      <c r="L99" s="5" t="s">
        <v>583</v>
      </c>
      <c r="M99" s="5" t="s">
        <v>586</v>
      </c>
      <c r="N99" s="7" t="str">
        <f t="shared" si="5"/>
        <v>2025</v>
      </c>
      <c r="O99" s="7" t="str">
        <f t="shared" si="6"/>
        <v>Feb</v>
      </c>
      <c r="P99" s="7" t="str">
        <f t="shared" si="7"/>
        <v>Thu</v>
      </c>
      <c r="Q99" t="str">
        <f t="shared" si="8"/>
        <v>Discounted</v>
      </c>
      <c r="R99" t="str">
        <f t="shared" si="9"/>
        <v>Check Return Policy</v>
      </c>
    </row>
    <row r="100" spans="1:18" x14ac:dyDescent="0.25">
      <c r="A100" s="4">
        <v>1099</v>
      </c>
      <c r="B100" s="5" t="s">
        <v>111</v>
      </c>
      <c r="C100" s="5" t="s">
        <v>511</v>
      </c>
      <c r="D100" s="5" t="s">
        <v>517</v>
      </c>
      <c r="E100" s="5" t="s">
        <v>565</v>
      </c>
      <c r="F100" s="5" t="s">
        <v>575</v>
      </c>
      <c r="G100" s="4">
        <v>11</v>
      </c>
      <c r="H100" s="4">
        <v>7</v>
      </c>
      <c r="I100" s="4">
        <v>5</v>
      </c>
      <c r="J100" s="6">
        <v>45804</v>
      </c>
      <c r="K100" t="s">
        <v>579</v>
      </c>
      <c r="L100" s="5" t="s">
        <v>583</v>
      </c>
      <c r="M100" s="5" t="s">
        <v>586</v>
      </c>
      <c r="N100" s="7" t="str">
        <f t="shared" si="5"/>
        <v>2025</v>
      </c>
      <c r="O100" s="7" t="str">
        <f t="shared" si="6"/>
        <v>May</v>
      </c>
      <c r="P100" s="7" t="str">
        <f t="shared" si="7"/>
        <v>Tue</v>
      </c>
      <c r="Q100" t="str">
        <f t="shared" si="8"/>
        <v>Discounted</v>
      </c>
      <c r="R100" t="str">
        <f t="shared" si="9"/>
        <v>Check Return Policy</v>
      </c>
    </row>
    <row r="101" spans="1:18" x14ac:dyDescent="0.25">
      <c r="A101" s="4">
        <v>1100</v>
      </c>
      <c r="B101" s="5" t="s">
        <v>112</v>
      </c>
      <c r="C101" s="5" t="s">
        <v>511</v>
      </c>
      <c r="D101" s="5" t="s">
        <v>556</v>
      </c>
      <c r="E101" s="5" t="s">
        <v>574</v>
      </c>
      <c r="F101" s="5" t="s">
        <v>576</v>
      </c>
      <c r="G101" s="4">
        <v>16</v>
      </c>
      <c r="H101" s="4">
        <v>135</v>
      </c>
      <c r="I101" s="4">
        <v>5</v>
      </c>
      <c r="J101" s="6">
        <v>45879</v>
      </c>
      <c r="K101" t="s">
        <v>578</v>
      </c>
      <c r="L101" s="5" t="s">
        <v>584</v>
      </c>
      <c r="M101" s="5" t="s">
        <v>585</v>
      </c>
      <c r="N101" s="7" t="str">
        <f t="shared" si="5"/>
        <v>2025</v>
      </c>
      <c r="O101" s="7" t="str">
        <f t="shared" si="6"/>
        <v>Aug</v>
      </c>
      <c r="P101" s="7" t="str">
        <f t="shared" si="7"/>
        <v>Sun</v>
      </c>
      <c r="Q101" t="str">
        <f t="shared" si="8"/>
        <v>Discounted</v>
      </c>
      <c r="R101" t="str">
        <f t="shared" si="9"/>
        <v>No Action</v>
      </c>
    </row>
    <row r="102" spans="1:18" x14ac:dyDescent="0.25">
      <c r="A102" s="4">
        <v>1101</v>
      </c>
      <c r="B102" s="5" t="s">
        <v>113</v>
      </c>
      <c r="C102" s="5" t="s">
        <v>512</v>
      </c>
      <c r="D102" s="5" t="s">
        <v>546</v>
      </c>
      <c r="E102" s="5" t="s">
        <v>570</v>
      </c>
      <c r="F102" s="5" t="s">
        <v>575</v>
      </c>
      <c r="G102" s="4">
        <v>20</v>
      </c>
      <c r="H102" s="4">
        <v>12</v>
      </c>
      <c r="I102" s="4">
        <v>5</v>
      </c>
      <c r="J102" s="6">
        <v>45992</v>
      </c>
      <c r="K102" t="s">
        <v>579</v>
      </c>
      <c r="L102" s="5" t="s">
        <v>582</v>
      </c>
      <c r="M102" s="5" t="s">
        <v>586</v>
      </c>
      <c r="N102" s="7" t="str">
        <f t="shared" si="5"/>
        <v>2025</v>
      </c>
      <c r="O102" s="7" t="str">
        <f t="shared" si="6"/>
        <v>Dec</v>
      </c>
      <c r="P102" s="7" t="str">
        <f t="shared" si="7"/>
        <v>Mon</v>
      </c>
      <c r="Q102" t="str">
        <f t="shared" si="8"/>
        <v>Discounted</v>
      </c>
      <c r="R102" t="str">
        <f t="shared" si="9"/>
        <v>Check Return Policy</v>
      </c>
    </row>
    <row r="103" spans="1:18" x14ac:dyDescent="0.25">
      <c r="A103" s="4">
        <v>1102</v>
      </c>
      <c r="B103" s="5" t="s">
        <v>114</v>
      </c>
      <c r="C103" s="5" t="s">
        <v>513</v>
      </c>
      <c r="D103" s="5" t="s">
        <v>549</v>
      </c>
      <c r="E103" s="5" t="s">
        <v>572</v>
      </c>
      <c r="F103" s="5" t="s">
        <v>577</v>
      </c>
      <c r="G103" s="4">
        <v>1</v>
      </c>
      <c r="H103" s="4">
        <v>221</v>
      </c>
      <c r="I103" s="4">
        <v>0</v>
      </c>
      <c r="J103" s="6">
        <v>45901</v>
      </c>
      <c r="K103" t="s">
        <v>580</v>
      </c>
      <c r="L103" s="5" t="s">
        <v>582</v>
      </c>
      <c r="M103" s="5" t="s">
        <v>586</v>
      </c>
      <c r="N103" s="7" t="str">
        <f t="shared" si="5"/>
        <v>2025</v>
      </c>
      <c r="O103" s="7" t="str">
        <f t="shared" si="6"/>
        <v>Sep</v>
      </c>
      <c r="P103" s="7" t="str">
        <f t="shared" si="7"/>
        <v>Mon</v>
      </c>
      <c r="Q103" t="str">
        <f t="shared" si="8"/>
        <v>Full Price</v>
      </c>
      <c r="R103" t="str">
        <f t="shared" si="9"/>
        <v>Check Return Policy</v>
      </c>
    </row>
    <row r="104" spans="1:18" x14ac:dyDescent="0.25">
      <c r="A104" s="4">
        <v>1103</v>
      </c>
      <c r="B104" s="5" t="s">
        <v>115</v>
      </c>
      <c r="C104" s="5" t="s">
        <v>513</v>
      </c>
      <c r="D104" s="5" t="s">
        <v>548</v>
      </c>
      <c r="E104" s="5" t="s">
        <v>565</v>
      </c>
      <c r="F104" s="5" t="s">
        <v>575</v>
      </c>
      <c r="G104" s="4">
        <v>13</v>
      </c>
      <c r="H104" s="4">
        <v>9</v>
      </c>
      <c r="I104" s="4">
        <v>0</v>
      </c>
      <c r="J104" s="6">
        <v>45771</v>
      </c>
      <c r="K104" t="s">
        <v>581</v>
      </c>
      <c r="L104" s="5" t="s">
        <v>582</v>
      </c>
      <c r="M104" s="5" t="s">
        <v>586</v>
      </c>
      <c r="N104" s="7" t="str">
        <f t="shared" si="5"/>
        <v>2025</v>
      </c>
      <c r="O104" s="7" t="str">
        <f t="shared" si="6"/>
        <v>Apr</v>
      </c>
      <c r="P104" s="7" t="str">
        <f t="shared" si="7"/>
        <v>Thu</v>
      </c>
      <c r="Q104" t="str">
        <f t="shared" si="8"/>
        <v>Full Price</v>
      </c>
      <c r="R104" t="str">
        <f t="shared" si="9"/>
        <v>Check Return Policy</v>
      </c>
    </row>
    <row r="105" spans="1:18" x14ac:dyDescent="0.25">
      <c r="A105" s="4">
        <v>1104</v>
      </c>
      <c r="B105" s="5" t="s">
        <v>116</v>
      </c>
      <c r="C105" s="5" t="s">
        <v>514</v>
      </c>
      <c r="D105" s="5" t="s">
        <v>526</v>
      </c>
      <c r="E105" s="5" t="s">
        <v>570</v>
      </c>
      <c r="F105" s="5" t="s">
        <v>575</v>
      </c>
      <c r="G105" s="4">
        <v>15</v>
      </c>
      <c r="H105" s="4">
        <v>12</v>
      </c>
      <c r="I105" s="4">
        <v>0</v>
      </c>
      <c r="J105" s="6">
        <v>45763</v>
      </c>
      <c r="K105" t="s">
        <v>578</v>
      </c>
      <c r="L105" s="5" t="s">
        <v>582</v>
      </c>
      <c r="M105" s="5" t="s">
        <v>586</v>
      </c>
      <c r="N105" s="7" t="str">
        <f t="shared" si="5"/>
        <v>2025</v>
      </c>
      <c r="O105" s="7" t="str">
        <f t="shared" si="6"/>
        <v>Apr</v>
      </c>
      <c r="P105" s="7" t="str">
        <f t="shared" si="7"/>
        <v>Wed</v>
      </c>
      <c r="Q105" t="str">
        <f t="shared" si="8"/>
        <v>Full Price</v>
      </c>
      <c r="R105" t="str">
        <f t="shared" si="9"/>
        <v>Check Return Policy</v>
      </c>
    </row>
    <row r="106" spans="1:18" x14ac:dyDescent="0.25">
      <c r="A106" s="4">
        <v>1105</v>
      </c>
      <c r="B106" s="5" t="s">
        <v>117</v>
      </c>
      <c r="C106" s="5" t="s">
        <v>513</v>
      </c>
      <c r="D106" s="5" t="s">
        <v>524</v>
      </c>
      <c r="E106" s="5" t="s">
        <v>568</v>
      </c>
      <c r="F106" s="5" t="s">
        <v>577</v>
      </c>
      <c r="G106" s="4">
        <v>5</v>
      </c>
      <c r="H106" s="4">
        <v>397</v>
      </c>
      <c r="I106" s="4">
        <v>15</v>
      </c>
      <c r="J106" s="6">
        <v>45792</v>
      </c>
      <c r="K106" t="s">
        <v>580</v>
      </c>
      <c r="L106" s="5" t="s">
        <v>583</v>
      </c>
      <c r="M106" s="5" t="s">
        <v>586</v>
      </c>
      <c r="N106" s="7" t="str">
        <f t="shared" si="5"/>
        <v>2025</v>
      </c>
      <c r="O106" s="7" t="str">
        <f t="shared" si="6"/>
        <v>May</v>
      </c>
      <c r="P106" s="7" t="str">
        <f t="shared" si="7"/>
        <v>Thu</v>
      </c>
      <c r="Q106" t="str">
        <f t="shared" si="8"/>
        <v>Discounted</v>
      </c>
      <c r="R106" t="str">
        <f t="shared" si="9"/>
        <v>Check Return Policy</v>
      </c>
    </row>
    <row r="107" spans="1:18" x14ac:dyDescent="0.25">
      <c r="A107" s="4">
        <v>1106</v>
      </c>
      <c r="B107" s="5" t="s">
        <v>118</v>
      </c>
      <c r="C107" s="5" t="s">
        <v>511</v>
      </c>
      <c r="D107" s="5" t="s">
        <v>523</v>
      </c>
      <c r="E107" s="5" t="s">
        <v>566</v>
      </c>
      <c r="F107" s="5" t="s">
        <v>576</v>
      </c>
      <c r="G107" s="4">
        <v>3</v>
      </c>
      <c r="H107" s="4">
        <v>338</v>
      </c>
      <c r="I107" s="4">
        <v>5</v>
      </c>
      <c r="J107" s="6">
        <v>45989</v>
      </c>
      <c r="K107" t="s">
        <v>580</v>
      </c>
      <c r="L107" s="5" t="s">
        <v>584</v>
      </c>
      <c r="M107" s="5" t="s">
        <v>585</v>
      </c>
      <c r="N107" s="7" t="str">
        <f t="shared" si="5"/>
        <v>2025</v>
      </c>
      <c r="O107" s="7" t="str">
        <f t="shared" si="6"/>
        <v>Nov</v>
      </c>
      <c r="P107" s="7" t="str">
        <f t="shared" si="7"/>
        <v>Fri</v>
      </c>
      <c r="Q107" t="str">
        <f t="shared" si="8"/>
        <v>Discounted</v>
      </c>
      <c r="R107" t="str">
        <f t="shared" si="9"/>
        <v>No Action</v>
      </c>
    </row>
    <row r="108" spans="1:18" x14ac:dyDescent="0.25">
      <c r="A108" s="4">
        <v>1107</v>
      </c>
      <c r="B108" s="5" t="s">
        <v>119</v>
      </c>
      <c r="C108" s="5" t="s">
        <v>514</v>
      </c>
      <c r="D108" s="5" t="s">
        <v>533</v>
      </c>
      <c r="E108" s="5" t="s">
        <v>570</v>
      </c>
      <c r="F108" s="5" t="s">
        <v>575</v>
      </c>
      <c r="G108" s="4">
        <v>8</v>
      </c>
      <c r="H108" s="4">
        <v>10</v>
      </c>
      <c r="I108" s="4">
        <v>5</v>
      </c>
      <c r="J108" s="6">
        <v>45992</v>
      </c>
      <c r="K108" t="s">
        <v>578</v>
      </c>
      <c r="L108" s="5" t="s">
        <v>582</v>
      </c>
      <c r="M108" s="5" t="s">
        <v>585</v>
      </c>
      <c r="N108" s="7" t="str">
        <f t="shared" si="5"/>
        <v>2025</v>
      </c>
      <c r="O108" s="7" t="str">
        <f t="shared" si="6"/>
        <v>Dec</v>
      </c>
      <c r="P108" s="7" t="str">
        <f t="shared" si="7"/>
        <v>Mon</v>
      </c>
      <c r="Q108" t="str">
        <f t="shared" si="8"/>
        <v>Discounted</v>
      </c>
      <c r="R108" t="str">
        <f t="shared" si="9"/>
        <v>No Action</v>
      </c>
    </row>
    <row r="109" spans="1:18" x14ac:dyDescent="0.25">
      <c r="A109" s="4">
        <v>1108</v>
      </c>
      <c r="B109" s="5" t="s">
        <v>120</v>
      </c>
      <c r="C109" s="5" t="s">
        <v>514</v>
      </c>
      <c r="D109" s="5" t="s">
        <v>545</v>
      </c>
      <c r="E109" s="5" t="s">
        <v>570</v>
      </c>
      <c r="F109" s="5" t="s">
        <v>575</v>
      </c>
      <c r="G109" s="4">
        <v>20</v>
      </c>
      <c r="H109" s="4">
        <v>14</v>
      </c>
      <c r="I109" s="4">
        <v>10</v>
      </c>
      <c r="J109" s="6">
        <v>45942</v>
      </c>
      <c r="K109" t="s">
        <v>578</v>
      </c>
      <c r="L109" s="5" t="s">
        <v>582</v>
      </c>
      <c r="M109" s="5" t="s">
        <v>586</v>
      </c>
      <c r="N109" s="7" t="str">
        <f t="shared" si="5"/>
        <v>2025</v>
      </c>
      <c r="O109" s="7" t="str">
        <f t="shared" si="6"/>
        <v>Oct</v>
      </c>
      <c r="P109" s="7" t="str">
        <f t="shared" si="7"/>
        <v>Sun</v>
      </c>
      <c r="Q109" t="str">
        <f t="shared" si="8"/>
        <v>Discounted</v>
      </c>
      <c r="R109" t="str">
        <f t="shared" si="9"/>
        <v>Check Return Policy</v>
      </c>
    </row>
    <row r="110" spans="1:18" x14ac:dyDescent="0.25">
      <c r="A110" s="4">
        <v>1109</v>
      </c>
      <c r="B110" s="5" t="s">
        <v>121</v>
      </c>
      <c r="C110" s="5" t="s">
        <v>511</v>
      </c>
      <c r="D110" s="5" t="s">
        <v>557</v>
      </c>
      <c r="E110" s="5" t="s">
        <v>573</v>
      </c>
      <c r="F110" s="5" t="s">
        <v>576</v>
      </c>
      <c r="G110" s="4">
        <v>11</v>
      </c>
      <c r="H110" s="4">
        <v>396</v>
      </c>
      <c r="I110" s="4">
        <v>10</v>
      </c>
      <c r="J110" s="6">
        <v>45898</v>
      </c>
      <c r="K110" t="s">
        <v>581</v>
      </c>
      <c r="L110" s="5" t="s">
        <v>583</v>
      </c>
      <c r="M110" s="5" t="s">
        <v>586</v>
      </c>
      <c r="N110" s="7" t="str">
        <f t="shared" si="5"/>
        <v>2025</v>
      </c>
      <c r="O110" s="7" t="str">
        <f t="shared" si="6"/>
        <v>Aug</v>
      </c>
      <c r="P110" s="7" t="str">
        <f t="shared" si="7"/>
        <v>Fri</v>
      </c>
      <c r="Q110" t="str">
        <f t="shared" si="8"/>
        <v>Discounted</v>
      </c>
      <c r="R110" t="str">
        <f t="shared" si="9"/>
        <v>Check Return Policy</v>
      </c>
    </row>
    <row r="111" spans="1:18" x14ac:dyDescent="0.25">
      <c r="A111" s="4">
        <v>1110</v>
      </c>
      <c r="B111" s="5" t="s">
        <v>122</v>
      </c>
      <c r="C111" s="5" t="s">
        <v>513</v>
      </c>
      <c r="D111" s="5" t="s">
        <v>534</v>
      </c>
      <c r="E111" s="5" t="s">
        <v>573</v>
      </c>
      <c r="F111" s="5" t="s">
        <v>576</v>
      </c>
      <c r="G111" s="4">
        <v>14</v>
      </c>
      <c r="H111" s="4">
        <v>386</v>
      </c>
      <c r="I111" s="4">
        <v>5</v>
      </c>
      <c r="J111" s="6">
        <v>45790</v>
      </c>
      <c r="K111" t="s">
        <v>581</v>
      </c>
      <c r="L111" s="5" t="s">
        <v>583</v>
      </c>
      <c r="M111" s="5" t="s">
        <v>585</v>
      </c>
      <c r="N111" s="7" t="str">
        <f t="shared" si="5"/>
        <v>2025</v>
      </c>
      <c r="O111" s="7" t="str">
        <f t="shared" si="6"/>
        <v>May</v>
      </c>
      <c r="P111" s="7" t="str">
        <f t="shared" si="7"/>
        <v>Tue</v>
      </c>
      <c r="Q111" t="str">
        <f t="shared" si="8"/>
        <v>Discounted</v>
      </c>
      <c r="R111" t="str">
        <f t="shared" si="9"/>
        <v>No Action</v>
      </c>
    </row>
    <row r="112" spans="1:18" x14ac:dyDescent="0.25">
      <c r="A112" s="4">
        <v>1111</v>
      </c>
      <c r="B112" s="5" t="s">
        <v>123</v>
      </c>
      <c r="C112" s="5" t="s">
        <v>514</v>
      </c>
      <c r="D112" s="5" t="s">
        <v>537</v>
      </c>
      <c r="E112" s="5" t="s">
        <v>574</v>
      </c>
      <c r="F112" s="5" t="s">
        <v>576</v>
      </c>
      <c r="G112" s="4">
        <v>16</v>
      </c>
      <c r="H112" s="4">
        <v>101</v>
      </c>
      <c r="I112" s="4">
        <v>5</v>
      </c>
      <c r="J112" s="6">
        <v>45986</v>
      </c>
      <c r="K112" t="s">
        <v>580</v>
      </c>
      <c r="L112" s="5" t="s">
        <v>582</v>
      </c>
      <c r="M112" s="5" t="s">
        <v>585</v>
      </c>
      <c r="N112" s="7" t="str">
        <f t="shared" si="5"/>
        <v>2025</v>
      </c>
      <c r="O112" s="7" t="str">
        <f t="shared" si="6"/>
        <v>Nov</v>
      </c>
      <c r="P112" s="7" t="str">
        <f t="shared" si="7"/>
        <v>Tue</v>
      </c>
      <c r="Q112" t="str">
        <f t="shared" si="8"/>
        <v>Discounted</v>
      </c>
      <c r="R112" t="str">
        <f t="shared" si="9"/>
        <v>No Action</v>
      </c>
    </row>
    <row r="113" spans="1:18" x14ac:dyDescent="0.25">
      <c r="A113" s="4">
        <v>1112</v>
      </c>
      <c r="B113" s="5" t="s">
        <v>124</v>
      </c>
      <c r="C113" s="5" t="s">
        <v>513</v>
      </c>
      <c r="D113" s="5" t="s">
        <v>519</v>
      </c>
      <c r="E113" s="5" t="s">
        <v>571</v>
      </c>
      <c r="F113" s="5" t="s">
        <v>577</v>
      </c>
      <c r="G113" s="4">
        <v>2</v>
      </c>
      <c r="H113" s="4">
        <v>73</v>
      </c>
      <c r="I113" s="4">
        <v>10</v>
      </c>
      <c r="J113" s="6">
        <v>45956</v>
      </c>
      <c r="K113" t="s">
        <v>581</v>
      </c>
      <c r="L113" s="5" t="s">
        <v>582</v>
      </c>
      <c r="M113" s="5" t="s">
        <v>586</v>
      </c>
      <c r="N113" s="7" t="str">
        <f t="shared" si="5"/>
        <v>2025</v>
      </c>
      <c r="O113" s="7" t="str">
        <f t="shared" si="6"/>
        <v>Oct</v>
      </c>
      <c r="P113" s="7" t="str">
        <f t="shared" si="7"/>
        <v>Sun</v>
      </c>
      <c r="Q113" t="str">
        <f t="shared" si="8"/>
        <v>Discounted</v>
      </c>
      <c r="R113" t="str">
        <f t="shared" si="9"/>
        <v>Check Return Policy</v>
      </c>
    </row>
    <row r="114" spans="1:18" x14ac:dyDescent="0.25">
      <c r="A114" s="4">
        <v>1113</v>
      </c>
      <c r="B114" s="5" t="s">
        <v>125</v>
      </c>
      <c r="C114" s="5" t="s">
        <v>514</v>
      </c>
      <c r="D114" s="5" t="s">
        <v>539</v>
      </c>
      <c r="E114" s="5" t="s">
        <v>574</v>
      </c>
      <c r="F114" s="5" t="s">
        <v>576</v>
      </c>
      <c r="G114" s="4">
        <v>19</v>
      </c>
      <c r="H114" s="4">
        <v>99</v>
      </c>
      <c r="I114" s="4">
        <v>0</v>
      </c>
      <c r="J114" s="6">
        <v>45680</v>
      </c>
      <c r="K114" t="s">
        <v>580</v>
      </c>
      <c r="L114" s="5" t="s">
        <v>582</v>
      </c>
      <c r="M114" s="5" t="s">
        <v>586</v>
      </c>
      <c r="N114" s="7" t="str">
        <f t="shared" si="5"/>
        <v>2025</v>
      </c>
      <c r="O114" s="7" t="str">
        <f t="shared" si="6"/>
        <v>Jan</v>
      </c>
      <c r="P114" s="7" t="str">
        <f t="shared" si="7"/>
        <v>Thu</v>
      </c>
      <c r="Q114" t="str">
        <f t="shared" si="8"/>
        <v>Full Price</v>
      </c>
      <c r="R114" t="str">
        <f t="shared" si="9"/>
        <v>Check Return Policy</v>
      </c>
    </row>
    <row r="115" spans="1:18" x14ac:dyDescent="0.25">
      <c r="A115" s="4">
        <v>1114</v>
      </c>
      <c r="B115" s="5" t="s">
        <v>126</v>
      </c>
      <c r="C115" s="5" t="s">
        <v>512</v>
      </c>
      <c r="D115" s="5" t="s">
        <v>543</v>
      </c>
      <c r="E115" s="5" t="s">
        <v>565</v>
      </c>
      <c r="F115" s="5" t="s">
        <v>575</v>
      </c>
      <c r="G115" s="4">
        <v>18</v>
      </c>
      <c r="H115" s="4">
        <v>7</v>
      </c>
      <c r="I115" s="4">
        <v>0</v>
      </c>
      <c r="J115" s="6">
        <v>45759</v>
      </c>
      <c r="K115" t="s">
        <v>580</v>
      </c>
      <c r="L115" s="5" t="s">
        <v>582</v>
      </c>
      <c r="M115" s="5" t="s">
        <v>585</v>
      </c>
      <c r="N115" s="7" t="str">
        <f t="shared" si="5"/>
        <v>2025</v>
      </c>
      <c r="O115" s="7" t="str">
        <f t="shared" si="6"/>
        <v>Apr</v>
      </c>
      <c r="P115" s="7" t="str">
        <f t="shared" si="7"/>
        <v>Sat</v>
      </c>
      <c r="Q115" t="str">
        <f t="shared" si="8"/>
        <v>Full Price</v>
      </c>
      <c r="R115" t="str">
        <f t="shared" si="9"/>
        <v>No Action</v>
      </c>
    </row>
    <row r="116" spans="1:18" x14ac:dyDescent="0.25">
      <c r="A116" s="4">
        <v>1115</v>
      </c>
      <c r="B116" s="5" t="s">
        <v>127</v>
      </c>
      <c r="C116" s="5" t="s">
        <v>512</v>
      </c>
      <c r="D116" s="5" t="s">
        <v>517</v>
      </c>
      <c r="E116" s="5" t="s">
        <v>572</v>
      </c>
      <c r="F116" s="5" t="s">
        <v>577</v>
      </c>
      <c r="G116" s="4">
        <v>15</v>
      </c>
      <c r="H116" s="4">
        <v>185</v>
      </c>
      <c r="I116" s="4">
        <v>15</v>
      </c>
      <c r="J116" s="6">
        <v>45944</v>
      </c>
      <c r="K116" t="s">
        <v>579</v>
      </c>
      <c r="L116" s="5" t="s">
        <v>583</v>
      </c>
      <c r="M116" s="5" t="s">
        <v>586</v>
      </c>
      <c r="N116" s="7" t="str">
        <f t="shared" si="5"/>
        <v>2025</v>
      </c>
      <c r="O116" s="7" t="str">
        <f t="shared" si="6"/>
        <v>Oct</v>
      </c>
      <c r="P116" s="7" t="str">
        <f t="shared" si="7"/>
        <v>Tue</v>
      </c>
      <c r="Q116" t="str">
        <f t="shared" si="8"/>
        <v>Discounted</v>
      </c>
      <c r="R116" t="str">
        <f t="shared" si="9"/>
        <v>Check Return Policy</v>
      </c>
    </row>
    <row r="117" spans="1:18" x14ac:dyDescent="0.25">
      <c r="A117" s="4">
        <v>1116</v>
      </c>
      <c r="B117" s="5" t="s">
        <v>128</v>
      </c>
      <c r="C117" s="5" t="s">
        <v>514</v>
      </c>
      <c r="D117" s="5" t="s">
        <v>535</v>
      </c>
      <c r="E117" s="5" t="s">
        <v>573</v>
      </c>
      <c r="F117" s="5" t="s">
        <v>576</v>
      </c>
      <c r="G117" s="4">
        <v>2</v>
      </c>
      <c r="H117" s="4">
        <v>200</v>
      </c>
      <c r="I117" s="4">
        <v>10</v>
      </c>
      <c r="J117" s="6">
        <v>45949</v>
      </c>
      <c r="K117" t="s">
        <v>581</v>
      </c>
      <c r="L117" s="5" t="s">
        <v>584</v>
      </c>
      <c r="M117" s="5" t="s">
        <v>585</v>
      </c>
      <c r="N117" s="7" t="str">
        <f t="shared" si="5"/>
        <v>2025</v>
      </c>
      <c r="O117" s="7" t="str">
        <f t="shared" si="6"/>
        <v>Oct</v>
      </c>
      <c r="P117" s="7" t="str">
        <f t="shared" si="7"/>
        <v>Sun</v>
      </c>
      <c r="Q117" t="str">
        <f t="shared" si="8"/>
        <v>Discounted</v>
      </c>
      <c r="R117" t="str">
        <f t="shared" si="9"/>
        <v>No Action</v>
      </c>
    </row>
    <row r="118" spans="1:18" x14ac:dyDescent="0.25">
      <c r="A118" s="4">
        <v>1117</v>
      </c>
      <c r="B118" s="5" t="s">
        <v>129</v>
      </c>
      <c r="C118" s="5" t="s">
        <v>511</v>
      </c>
      <c r="D118" s="5" t="s">
        <v>555</v>
      </c>
      <c r="E118" s="5" t="s">
        <v>573</v>
      </c>
      <c r="F118" s="5" t="s">
        <v>576</v>
      </c>
      <c r="G118" s="4">
        <v>5</v>
      </c>
      <c r="H118" s="4">
        <v>358</v>
      </c>
      <c r="I118" s="4">
        <v>15</v>
      </c>
      <c r="J118" s="6">
        <v>45857</v>
      </c>
      <c r="K118" t="s">
        <v>581</v>
      </c>
      <c r="L118" s="5" t="s">
        <v>582</v>
      </c>
      <c r="M118" s="5" t="s">
        <v>585</v>
      </c>
      <c r="N118" s="7" t="str">
        <f t="shared" si="5"/>
        <v>2025</v>
      </c>
      <c r="O118" s="7" t="str">
        <f t="shared" si="6"/>
        <v>Jul</v>
      </c>
      <c r="P118" s="7" t="str">
        <f t="shared" si="7"/>
        <v>Sat</v>
      </c>
      <c r="Q118" t="str">
        <f t="shared" si="8"/>
        <v>Discounted</v>
      </c>
      <c r="R118" t="str">
        <f t="shared" si="9"/>
        <v>No Action</v>
      </c>
    </row>
    <row r="119" spans="1:18" x14ac:dyDescent="0.25">
      <c r="A119" s="4">
        <v>1118</v>
      </c>
      <c r="B119" s="5" t="s">
        <v>130</v>
      </c>
      <c r="C119" s="5" t="s">
        <v>513</v>
      </c>
      <c r="D119" s="5" t="s">
        <v>535</v>
      </c>
      <c r="E119" s="5" t="s">
        <v>574</v>
      </c>
      <c r="F119" s="5" t="s">
        <v>576</v>
      </c>
      <c r="G119" s="4">
        <v>14</v>
      </c>
      <c r="H119" s="4">
        <v>101</v>
      </c>
      <c r="I119" s="4">
        <v>5</v>
      </c>
      <c r="J119" s="6">
        <v>45842</v>
      </c>
      <c r="K119" t="s">
        <v>578</v>
      </c>
      <c r="L119" s="5" t="s">
        <v>583</v>
      </c>
      <c r="M119" s="5" t="s">
        <v>585</v>
      </c>
      <c r="N119" s="7" t="str">
        <f t="shared" si="5"/>
        <v>2025</v>
      </c>
      <c r="O119" s="7" t="str">
        <f t="shared" si="6"/>
        <v>Jul</v>
      </c>
      <c r="P119" s="7" t="str">
        <f t="shared" si="7"/>
        <v>Fri</v>
      </c>
      <c r="Q119" t="str">
        <f t="shared" si="8"/>
        <v>Discounted</v>
      </c>
      <c r="R119" t="str">
        <f t="shared" si="9"/>
        <v>No Action</v>
      </c>
    </row>
    <row r="120" spans="1:18" x14ac:dyDescent="0.25">
      <c r="A120" s="4">
        <v>1119</v>
      </c>
      <c r="B120" s="5" t="s">
        <v>131</v>
      </c>
      <c r="C120" s="5" t="s">
        <v>511</v>
      </c>
      <c r="D120" s="5" t="s">
        <v>529</v>
      </c>
      <c r="E120" s="5" t="s">
        <v>573</v>
      </c>
      <c r="F120" s="5" t="s">
        <v>576</v>
      </c>
      <c r="G120" s="4">
        <v>7</v>
      </c>
      <c r="H120" s="4">
        <v>331</v>
      </c>
      <c r="I120" s="4">
        <v>15</v>
      </c>
      <c r="J120" s="6">
        <v>45840</v>
      </c>
      <c r="K120" t="s">
        <v>581</v>
      </c>
      <c r="L120" s="5" t="s">
        <v>582</v>
      </c>
      <c r="M120" s="5" t="s">
        <v>585</v>
      </c>
      <c r="N120" s="7" t="str">
        <f t="shared" si="5"/>
        <v>2025</v>
      </c>
      <c r="O120" s="7" t="str">
        <f t="shared" si="6"/>
        <v>Jul</v>
      </c>
      <c r="P120" s="7" t="str">
        <f t="shared" si="7"/>
        <v>Wed</v>
      </c>
      <c r="Q120" t="str">
        <f t="shared" si="8"/>
        <v>Discounted</v>
      </c>
      <c r="R120" t="str">
        <f t="shared" si="9"/>
        <v>No Action</v>
      </c>
    </row>
    <row r="121" spans="1:18" x14ac:dyDescent="0.25">
      <c r="A121" s="4">
        <v>1120</v>
      </c>
      <c r="B121" s="5" t="s">
        <v>132</v>
      </c>
      <c r="C121" s="5" t="s">
        <v>513</v>
      </c>
      <c r="D121" s="5" t="s">
        <v>539</v>
      </c>
      <c r="E121" s="5" t="s">
        <v>574</v>
      </c>
      <c r="F121" s="5" t="s">
        <v>576</v>
      </c>
      <c r="G121" s="4">
        <v>2</v>
      </c>
      <c r="H121" s="4">
        <v>44</v>
      </c>
      <c r="I121" s="4">
        <v>10</v>
      </c>
      <c r="J121" s="6">
        <v>45847</v>
      </c>
      <c r="K121" t="s">
        <v>578</v>
      </c>
      <c r="L121" s="5" t="s">
        <v>583</v>
      </c>
      <c r="M121" s="5" t="s">
        <v>586</v>
      </c>
      <c r="N121" s="7" t="str">
        <f t="shared" si="5"/>
        <v>2025</v>
      </c>
      <c r="O121" s="7" t="str">
        <f t="shared" si="6"/>
        <v>Jul</v>
      </c>
      <c r="P121" s="7" t="str">
        <f t="shared" si="7"/>
        <v>Wed</v>
      </c>
      <c r="Q121" t="str">
        <f t="shared" si="8"/>
        <v>Discounted</v>
      </c>
      <c r="R121" t="str">
        <f t="shared" si="9"/>
        <v>Check Return Policy</v>
      </c>
    </row>
    <row r="122" spans="1:18" x14ac:dyDescent="0.25">
      <c r="A122" s="4">
        <v>1121</v>
      </c>
      <c r="B122" s="5" t="s">
        <v>133</v>
      </c>
      <c r="C122" s="5" t="s">
        <v>514</v>
      </c>
      <c r="D122" s="5" t="s">
        <v>527</v>
      </c>
      <c r="E122" s="5" t="s">
        <v>565</v>
      </c>
      <c r="F122" s="5" t="s">
        <v>575</v>
      </c>
      <c r="G122" s="4">
        <v>16</v>
      </c>
      <c r="H122" s="4">
        <v>5</v>
      </c>
      <c r="I122" s="4">
        <v>10</v>
      </c>
      <c r="J122" s="6">
        <v>45809</v>
      </c>
      <c r="K122" t="s">
        <v>580</v>
      </c>
      <c r="L122" s="5" t="s">
        <v>582</v>
      </c>
      <c r="M122" s="5" t="s">
        <v>585</v>
      </c>
      <c r="N122" s="7" t="str">
        <f t="shared" si="5"/>
        <v>2025</v>
      </c>
      <c r="O122" s="7" t="str">
        <f t="shared" si="6"/>
        <v>Jun</v>
      </c>
      <c r="P122" s="7" t="str">
        <f t="shared" si="7"/>
        <v>Sun</v>
      </c>
      <c r="Q122" t="str">
        <f t="shared" si="8"/>
        <v>Discounted</v>
      </c>
      <c r="R122" t="str">
        <f t="shared" si="9"/>
        <v>No Action</v>
      </c>
    </row>
    <row r="123" spans="1:18" x14ac:dyDescent="0.25">
      <c r="A123" s="4">
        <v>1122</v>
      </c>
      <c r="B123" s="5" t="s">
        <v>134</v>
      </c>
      <c r="C123" s="5" t="s">
        <v>514</v>
      </c>
      <c r="D123" s="5" t="s">
        <v>536</v>
      </c>
      <c r="E123" s="5" t="s">
        <v>572</v>
      </c>
      <c r="F123" s="5" t="s">
        <v>577</v>
      </c>
      <c r="G123" s="4">
        <v>9</v>
      </c>
      <c r="H123" s="4">
        <v>73</v>
      </c>
      <c r="I123" s="4">
        <v>5</v>
      </c>
      <c r="J123" s="6">
        <v>45704</v>
      </c>
      <c r="K123" t="s">
        <v>581</v>
      </c>
      <c r="L123" s="5" t="s">
        <v>584</v>
      </c>
      <c r="M123" s="5" t="s">
        <v>586</v>
      </c>
      <c r="N123" s="7" t="str">
        <f t="shared" si="5"/>
        <v>2025</v>
      </c>
      <c r="O123" s="7" t="str">
        <f t="shared" si="6"/>
        <v>Feb</v>
      </c>
      <c r="P123" s="7" t="str">
        <f t="shared" si="7"/>
        <v>Sun</v>
      </c>
      <c r="Q123" t="str">
        <f t="shared" si="8"/>
        <v>Discounted</v>
      </c>
      <c r="R123" t="str">
        <f t="shared" si="9"/>
        <v>Check Return Policy</v>
      </c>
    </row>
    <row r="124" spans="1:18" x14ac:dyDescent="0.25">
      <c r="A124" s="4">
        <v>1123</v>
      </c>
      <c r="B124" s="5" t="s">
        <v>135</v>
      </c>
      <c r="C124" s="5" t="s">
        <v>512</v>
      </c>
      <c r="D124" s="5" t="s">
        <v>553</v>
      </c>
      <c r="E124" s="5" t="s">
        <v>566</v>
      </c>
      <c r="F124" s="5" t="s">
        <v>576</v>
      </c>
      <c r="G124" s="4">
        <v>19</v>
      </c>
      <c r="H124" s="4">
        <v>174</v>
      </c>
      <c r="I124" s="4">
        <v>0</v>
      </c>
      <c r="J124" s="6">
        <v>45657</v>
      </c>
      <c r="K124" t="s">
        <v>580</v>
      </c>
      <c r="L124" s="5" t="s">
        <v>584</v>
      </c>
      <c r="M124" s="5" t="s">
        <v>585</v>
      </c>
      <c r="N124" s="7" t="str">
        <f t="shared" si="5"/>
        <v>2024</v>
      </c>
      <c r="O124" s="7" t="str">
        <f t="shared" si="6"/>
        <v>Dec</v>
      </c>
      <c r="P124" s="7" t="str">
        <f t="shared" si="7"/>
        <v>Tue</v>
      </c>
      <c r="Q124" t="str">
        <f t="shared" si="8"/>
        <v>Full Price</v>
      </c>
      <c r="R124" t="str">
        <f t="shared" si="9"/>
        <v>No Action</v>
      </c>
    </row>
    <row r="125" spans="1:18" x14ac:dyDescent="0.25">
      <c r="A125" s="4">
        <v>1124</v>
      </c>
      <c r="B125" s="5" t="s">
        <v>136</v>
      </c>
      <c r="C125" s="5" t="s">
        <v>511</v>
      </c>
      <c r="D125" s="5" t="s">
        <v>558</v>
      </c>
      <c r="E125" s="5" t="s">
        <v>565</v>
      </c>
      <c r="F125" s="5" t="s">
        <v>575</v>
      </c>
      <c r="G125" s="4">
        <v>17</v>
      </c>
      <c r="H125" s="4">
        <v>8</v>
      </c>
      <c r="I125" s="4">
        <v>10</v>
      </c>
      <c r="J125" s="6">
        <v>45891</v>
      </c>
      <c r="K125" t="s">
        <v>580</v>
      </c>
      <c r="L125" s="5" t="s">
        <v>584</v>
      </c>
      <c r="M125" s="5" t="s">
        <v>586</v>
      </c>
      <c r="N125" s="7" t="str">
        <f t="shared" si="5"/>
        <v>2025</v>
      </c>
      <c r="O125" s="7" t="str">
        <f t="shared" si="6"/>
        <v>Aug</v>
      </c>
      <c r="P125" s="7" t="str">
        <f t="shared" si="7"/>
        <v>Fri</v>
      </c>
      <c r="Q125" t="str">
        <f t="shared" si="8"/>
        <v>Discounted</v>
      </c>
      <c r="R125" t="str">
        <f t="shared" si="9"/>
        <v>Check Return Policy</v>
      </c>
    </row>
    <row r="126" spans="1:18" x14ac:dyDescent="0.25">
      <c r="A126" s="4">
        <v>1125</v>
      </c>
      <c r="B126" s="5" t="s">
        <v>137</v>
      </c>
      <c r="C126" s="5" t="s">
        <v>514</v>
      </c>
      <c r="D126" s="5" t="s">
        <v>559</v>
      </c>
      <c r="E126" s="5" t="s">
        <v>566</v>
      </c>
      <c r="F126" s="5" t="s">
        <v>576</v>
      </c>
      <c r="G126" s="4">
        <v>11</v>
      </c>
      <c r="H126" s="4">
        <v>235</v>
      </c>
      <c r="I126" s="4">
        <v>15</v>
      </c>
      <c r="J126" s="6">
        <v>45762</v>
      </c>
      <c r="K126" t="s">
        <v>579</v>
      </c>
      <c r="L126" s="5" t="s">
        <v>584</v>
      </c>
      <c r="M126" s="5" t="s">
        <v>585</v>
      </c>
      <c r="N126" s="7" t="str">
        <f t="shared" si="5"/>
        <v>2025</v>
      </c>
      <c r="O126" s="7" t="str">
        <f t="shared" si="6"/>
        <v>Apr</v>
      </c>
      <c r="P126" s="7" t="str">
        <f t="shared" si="7"/>
        <v>Tue</v>
      </c>
      <c r="Q126" t="str">
        <f t="shared" si="8"/>
        <v>Discounted</v>
      </c>
      <c r="R126" t="str">
        <f t="shared" si="9"/>
        <v>No Action</v>
      </c>
    </row>
    <row r="127" spans="1:18" x14ac:dyDescent="0.25">
      <c r="A127" s="4">
        <v>1126</v>
      </c>
      <c r="B127" s="5" t="s">
        <v>138</v>
      </c>
      <c r="C127" s="5" t="s">
        <v>512</v>
      </c>
      <c r="D127" s="5" t="s">
        <v>518</v>
      </c>
      <c r="E127" s="5" t="s">
        <v>567</v>
      </c>
      <c r="F127" s="5" t="s">
        <v>576</v>
      </c>
      <c r="G127" s="4">
        <v>10</v>
      </c>
      <c r="H127" s="4">
        <v>1220</v>
      </c>
      <c r="I127" s="4">
        <v>0</v>
      </c>
      <c r="J127" s="6">
        <v>45704</v>
      </c>
      <c r="K127" t="s">
        <v>578</v>
      </c>
      <c r="L127" s="5" t="s">
        <v>582</v>
      </c>
      <c r="M127" s="5" t="s">
        <v>585</v>
      </c>
      <c r="N127" s="7" t="str">
        <f t="shared" si="5"/>
        <v>2025</v>
      </c>
      <c r="O127" s="7" t="str">
        <f t="shared" si="6"/>
        <v>Feb</v>
      </c>
      <c r="P127" s="7" t="str">
        <f t="shared" si="7"/>
        <v>Sun</v>
      </c>
      <c r="Q127" t="str">
        <f t="shared" si="8"/>
        <v>Full Price</v>
      </c>
      <c r="R127" t="str">
        <f t="shared" si="9"/>
        <v>No Action</v>
      </c>
    </row>
    <row r="128" spans="1:18" x14ac:dyDescent="0.25">
      <c r="A128" s="4">
        <v>1127</v>
      </c>
      <c r="B128" s="5" t="s">
        <v>139</v>
      </c>
      <c r="C128" s="5" t="s">
        <v>514</v>
      </c>
      <c r="D128" s="5" t="s">
        <v>539</v>
      </c>
      <c r="E128" s="5" t="s">
        <v>566</v>
      </c>
      <c r="F128" s="5" t="s">
        <v>576</v>
      </c>
      <c r="G128" s="4">
        <v>14</v>
      </c>
      <c r="H128" s="4">
        <v>361</v>
      </c>
      <c r="I128" s="4">
        <v>10</v>
      </c>
      <c r="J128" s="6">
        <v>45907</v>
      </c>
      <c r="K128" t="s">
        <v>578</v>
      </c>
      <c r="L128" s="5" t="s">
        <v>584</v>
      </c>
      <c r="M128" s="5" t="s">
        <v>585</v>
      </c>
      <c r="N128" s="7" t="str">
        <f t="shared" si="5"/>
        <v>2025</v>
      </c>
      <c r="O128" s="7" t="str">
        <f t="shared" si="6"/>
        <v>Sep</v>
      </c>
      <c r="P128" s="7" t="str">
        <f t="shared" si="7"/>
        <v>Sun</v>
      </c>
      <c r="Q128" t="str">
        <f t="shared" si="8"/>
        <v>Discounted</v>
      </c>
      <c r="R128" t="str">
        <f t="shared" si="9"/>
        <v>No Action</v>
      </c>
    </row>
    <row r="129" spans="1:18" x14ac:dyDescent="0.25">
      <c r="A129" s="4">
        <v>1128</v>
      </c>
      <c r="B129" s="5" t="s">
        <v>140</v>
      </c>
      <c r="C129" s="5" t="s">
        <v>511</v>
      </c>
      <c r="D129" s="5" t="s">
        <v>524</v>
      </c>
      <c r="E129" s="5" t="s">
        <v>571</v>
      </c>
      <c r="F129" s="5" t="s">
        <v>577</v>
      </c>
      <c r="G129" s="4">
        <v>8</v>
      </c>
      <c r="H129" s="4">
        <v>226</v>
      </c>
      <c r="I129" s="4">
        <v>0</v>
      </c>
      <c r="J129" s="6">
        <v>45710</v>
      </c>
      <c r="K129" t="s">
        <v>580</v>
      </c>
      <c r="L129" s="5" t="s">
        <v>584</v>
      </c>
      <c r="M129" s="5" t="s">
        <v>586</v>
      </c>
      <c r="N129" s="7" t="str">
        <f t="shared" si="5"/>
        <v>2025</v>
      </c>
      <c r="O129" s="7" t="str">
        <f t="shared" si="6"/>
        <v>Feb</v>
      </c>
      <c r="P129" s="7" t="str">
        <f t="shared" si="7"/>
        <v>Sat</v>
      </c>
      <c r="Q129" t="str">
        <f t="shared" si="8"/>
        <v>Full Price</v>
      </c>
      <c r="R129" t="str">
        <f t="shared" si="9"/>
        <v>Check Return Policy</v>
      </c>
    </row>
    <row r="130" spans="1:18" x14ac:dyDescent="0.25">
      <c r="A130" s="4">
        <v>1129</v>
      </c>
      <c r="B130" s="5" t="s">
        <v>141</v>
      </c>
      <c r="C130" s="5" t="s">
        <v>512</v>
      </c>
      <c r="D130" s="5" t="s">
        <v>532</v>
      </c>
      <c r="E130" s="5" t="s">
        <v>571</v>
      </c>
      <c r="F130" s="5" t="s">
        <v>577</v>
      </c>
      <c r="G130" s="4">
        <v>20</v>
      </c>
      <c r="H130" s="4">
        <v>290</v>
      </c>
      <c r="I130" s="4">
        <v>5</v>
      </c>
      <c r="J130" s="6">
        <v>45985</v>
      </c>
      <c r="K130" t="s">
        <v>579</v>
      </c>
      <c r="L130" s="5" t="s">
        <v>583</v>
      </c>
      <c r="M130" s="5" t="s">
        <v>585</v>
      </c>
      <c r="N130" s="7" t="str">
        <f t="shared" si="5"/>
        <v>2025</v>
      </c>
      <c r="O130" s="7" t="str">
        <f t="shared" si="6"/>
        <v>Nov</v>
      </c>
      <c r="P130" s="7" t="str">
        <f t="shared" si="7"/>
        <v>Mon</v>
      </c>
      <c r="Q130" t="str">
        <f t="shared" si="8"/>
        <v>Discounted</v>
      </c>
      <c r="R130" t="str">
        <f t="shared" si="9"/>
        <v>No Action</v>
      </c>
    </row>
    <row r="131" spans="1:18" x14ac:dyDescent="0.25">
      <c r="A131" s="4">
        <v>1130</v>
      </c>
      <c r="B131" s="5" t="s">
        <v>142</v>
      </c>
      <c r="C131" s="5" t="s">
        <v>512</v>
      </c>
      <c r="D131" s="5" t="s">
        <v>544</v>
      </c>
      <c r="E131" s="5" t="s">
        <v>568</v>
      </c>
      <c r="F131" s="5" t="s">
        <v>577</v>
      </c>
      <c r="G131" s="4">
        <v>4</v>
      </c>
      <c r="H131" s="4">
        <v>220</v>
      </c>
      <c r="I131" s="4">
        <v>5</v>
      </c>
      <c r="J131" s="6">
        <v>46002</v>
      </c>
      <c r="K131" t="s">
        <v>578</v>
      </c>
      <c r="L131" s="5" t="s">
        <v>584</v>
      </c>
      <c r="M131" s="5" t="s">
        <v>585</v>
      </c>
      <c r="N131" s="7" t="str">
        <f t="shared" ref="N131:N194" si="10">TEXT(J131,"YYYY")</f>
        <v>2025</v>
      </c>
      <c r="O131" s="7" t="str">
        <f t="shared" ref="O131:O194" si="11">TEXT(J131,"mmm")</f>
        <v>Dec</v>
      </c>
      <c r="P131" s="7" t="str">
        <f t="shared" ref="P131:P194" si="12">TEXT(J131,"ddd")</f>
        <v>Thu</v>
      </c>
      <c r="Q131" t="str">
        <f t="shared" ref="Q131:Q194" si="13">IF(I131&gt;0,"Discounted","Full Price")</f>
        <v>Discounted</v>
      </c>
      <c r="R131" t="str">
        <f t="shared" ref="R131:R194" si="14">IF(M131="Yes","Check Return Policy","No Action")</f>
        <v>No Action</v>
      </c>
    </row>
    <row r="132" spans="1:18" x14ac:dyDescent="0.25">
      <c r="A132" s="4">
        <v>1131</v>
      </c>
      <c r="B132" s="5" t="s">
        <v>143</v>
      </c>
      <c r="C132" s="5" t="s">
        <v>511</v>
      </c>
      <c r="D132" s="5" t="s">
        <v>518</v>
      </c>
      <c r="E132" s="5" t="s">
        <v>574</v>
      </c>
      <c r="F132" s="5" t="s">
        <v>576</v>
      </c>
      <c r="G132" s="4">
        <v>13</v>
      </c>
      <c r="H132" s="4">
        <v>96</v>
      </c>
      <c r="I132" s="4">
        <v>0</v>
      </c>
      <c r="J132" s="6">
        <v>45690</v>
      </c>
      <c r="K132" t="s">
        <v>579</v>
      </c>
      <c r="L132" s="5" t="s">
        <v>584</v>
      </c>
      <c r="M132" s="5" t="s">
        <v>585</v>
      </c>
      <c r="N132" s="7" t="str">
        <f t="shared" si="10"/>
        <v>2025</v>
      </c>
      <c r="O132" s="7" t="str">
        <f t="shared" si="11"/>
        <v>Feb</v>
      </c>
      <c r="P132" s="7" t="str">
        <f t="shared" si="12"/>
        <v>Sun</v>
      </c>
      <c r="Q132" t="str">
        <f t="shared" si="13"/>
        <v>Full Price</v>
      </c>
      <c r="R132" t="str">
        <f t="shared" si="14"/>
        <v>No Action</v>
      </c>
    </row>
    <row r="133" spans="1:18" x14ac:dyDescent="0.25">
      <c r="A133" s="4">
        <v>1132</v>
      </c>
      <c r="B133" s="5" t="s">
        <v>144</v>
      </c>
      <c r="C133" s="5" t="s">
        <v>513</v>
      </c>
      <c r="D133" s="5" t="s">
        <v>540</v>
      </c>
      <c r="E133" s="5" t="s">
        <v>574</v>
      </c>
      <c r="F133" s="5" t="s">
        <v>576</v>
      </c>
      <c r="G133" s="4">
        <v>6</v>
      </c>
      <c r="H133" s="4">
        <v>81</v>
      </c>
      <c r="I133" s="4">
        <v>0</v>
      </c>
      <c r="J133" s="6">
        <v>45848</v>
      </c>
      <c r="K133" t="s">
        <v>580</v>
      </c>
      <c r="L133" s="5" t="s">
        <v>582</v>
      </c>
      <c r="M133" s="5" t="s">
        <v>585</v>
      </c>
      <c r="N133" s="7" t="str">
        <f t="shared" si="10"/>
        <v>2025</v>
      </c>
      <c r="O133" s="7" t="str">
        <f t="shared" si="11"/>
        <v>Jul</v>
      </c>
      <c r="P133" s="7" t="str">
        <f t="shared" si="12"/>
        <v>Thu</v>
      </c>
      <c r="Q133" t="str">
        <f t="shared" si="13"/>
        <v>Full Price</v>
      </c>
      <c r="R133" t="str">
        <f t="shared" si="14"/>
        <v>No Action</v>
      </c>
    </row>
    <row r="134" spans="1:18" x14ac:dyDescent="0.25">
      <c r="A134" s="4">
        <v>1133</v>
      </c>
      <c r="B134" s="5" t="s">
        <v>145</v>
      </c>
      <c r="C134" s="5" t="s">
        <v>514</v>
      </c>
      <c r="D134" s="5" t="s">
        <v>535</v>
      </c>
      <c r="E134" s="5" t="s">
        <v>565</v>
      </c>
      <c r="F134" s="5" t="s">
        <v>575</v>
      </c>
      <c r="G134" s="4">
        <v>6</v>
      </c>
      <c r="H134" s="4">
        <v>8</v>
      </c>
      <c r="I134" s="4">
        <v>10</v>
      </c>
      <c r="J134" s="6">
        <v>45710</v>
      </c>
      <c r="K134" t="s">
        <v>578</v>
      </c>
      <c r="L134" s="5" t="s">
        <v>583</v>
      </c>
      <c r="M134" s="5" t="s">
        <v>586</v>
      </c>
      <c r="N134" s="7" t="str">
        <f t="shared" si="10"/>
        <v>2025</v>
      </c>
      <c r="O134" s="7" t="str">
        <f t="shared" si="11"/>
        <v>Feb</v>
      </c>
      <c r="P134" s="7" t="str">
        <f t="shared" si="12"/>
        <v>Sat</v>
      </c>
      <c r="Q134" t="str">
        <f t="shared" si="13"/>
        <v>Discounted</v>
      </c>
      <c r="R134" t="str">
        <f t="shared" si="14"/>
        <v>Check Return Policy</v>
      </c>
    </row>
    <row r="135" spans="1:18" x14ac:dyDescent="0.25">
      <c r="A135" s="4">
        <v>1134</v>
      </c>
      <c r="B135" s="5" t="s">
        <v>146</v>
      </c>
      <c r="C135" s="5" t="s">
        <v>513</v>
      </c>
      <c r="D135" s="5" t="s">
        <v>560</v>
      </c>
      <c r="E135" s="5" t="s">
        <v>567</v>
      </c>
      <c r="F135" s="5" t="s">
        <v>576</v>
      </c>
      <c r="G135" s="4">
        <v>3</v>
      </c>
      <c r="H135" s="4">
        <v>814</v>
      </c>
      <c r="I135" s="4">
        <v>0</v>
      </c>
      <c r="J135" s="6">
        <v>45921</v>
      </c>
      <c r="K135" t="s">
        <v>580</v>
      </c>
      <c r="L135" s="5" t="s">
        <v>584</v>
      </c>
      <c r="M135" s="5" t="s">
        <v>586</v>
      </c>
      <c r="N135" s="7" t="str">
        <f t="shared" si="10"/>
        <v>2025</v>
      </c>
      <c r="O135" s="7" t="str">
        <f t="shared" si="11"/>
        <v>Sep</v>
      </c>
      <c r="P135" s="7" t="str">
        <f t="shared" si="12"/>
        <v>Sun</v>
      </c>
      <c r="Q135" t="str">
        <f t="shared" si="13"/>
        <v>Full Price</v>
      </c>
      <c r="R135" t="str">
        <f t="shared" si="14"/>
        <v>Check Return Policy</v>
      </c>
    </row>
    <row r="136" spans="1:18" x14ac:dyDescent="0.25">
      <c r="A136" s="4">
        <v>1135</v>
      </c>
      <c r="B136" s="5" t="s">
        <v>147</v>
      </c>
      <c r="C136" s="5" t="s">
        <v>513</v>
      </c>
      <c r="D136" s="5" t="s">
        <v>541</v>
      </c>
      <c r="E136" s="5" t="s">
        <v>568</v>
      </c>
      <c r="F136" s="5" t="s">
        <v>577</v>
      </c>
      <c r="G136" s="4">
        <v>2</v>
      </c>
      <c r="H136" s="4">
        <v>205</v>
      </c>
      <c r="I136" s="4">
        <v>10</v>
      </c>
      <c r="J136" s="6">
        <v>45810</v>
      </c>
      <c r="K136" t="s">
        <v>581</v>
      </c>
      <c r="L136" s="5" t="s">
        <v>582</v>
      </c>
      <c r="M136" s="5" t="s">
        <v>586</v>
      </c>
      <c r="N136" s="7" t="str">
        <f t="shared" si="10"/>
        <v>2025</v>
      </c>
      <c r="O136" s="7" t="str">
        <f t="shared" si="11"/>
        <v>Jun</v>
      </c>
      <c r="P136" s="7" t="str">
        <f t="shared" si="12"/>
        <v>Mon</v>
      </c>
      <c r="Q136" t="str">
        <f t="shared" si="13"/>
        <v>Discounted</v>
      </c>
      <c r="R136" t="str">
        <f t="shared" si="14"/>
        <v>Check Return Policy</v>
      </c>
    </row>
    <row r="137" spans="1:18" x14ac:dyDescent="0.25">
      <c r="A137" s="4">
        <v>1136</v>
      </c>
      <c r="B137" s="5" t="s">
        <v>148</v>
      </c>
      <c r="C137" s="5" t="s">
        <v>512</v>
      </c>
      <c r="D137" s="5" t="s">
        <v>520</v>
      </c>
      <c r="E137" s="5" t="s">
        <v>569</v>
      </c>
      <c r="F137" s="5" t="s">
        <v>576</v>
      </c>
      <c r="G137" s="4">
        <v>20</v>
      </c>
      <c r="H137" s="4">
        <v>825</v>
      </c>
      <c r="I137" s="4">
        <v>10</v>
      </c>
      <c r="J137" s="6">
        <v>46017</v>
      </c>
      <c r="K137" t="s">
        <v>581</v>
      </c>
      <c r="L137" s="5" t="s">
        <v>584</v>
      </c>
      <c r="M137" s="5" t="s">
        <v>585</v>
      </c>
      <c r="N137" s="7" t="str">
        <f t="shared" si="10"/>
        <v>2025</v>
      </c>
      <c r="O137" s="7" t="str">
        <f t="shared" si="11"/>
        <v>Dec</v>
      </c>
      <c r="P137" s="7" t="str">
        <f t="shared" si="12"/>
        <v>Fri</v>
      </c>
      <c r="Q137" t="str">
        <f t="shared" si="13"/>
        <v>Discounted</v>
      </c>
      <c r="R137" t="str">
        <f t="shared" si="14"/>
        <v>No Action</v>
      </c>
    </row>
    <row r="138" spans="1:18" x14ac:dyDescent="0.25">
      <c r="A138" s="4">
        <v>1137</v>
      </c>
      <c r="B138" s="5" t="s">
        <v>149</v>
      </c>
      <c r="C138" s="5" t="s">
        <v>513</v>
      </c>
      <c r="D138" s="5" t="s">
        <v>525</v>
      </c>
      <c r="E138" s="5" t="s">
        <v>567</v>
      </c>
      <c r="F138" s="5" t="s">
        <v>576</v>
      </c>
      <c r="G138" s="4">
        <v>12</v>
      </c>
      <c r="H138" s="4">
        <v>895</v>
      </c>
      <c r="I138" s="4">
        <v>15</v>
      </c>
      <c r="J138" s="6">
        <v>45906</v>
      </c>
      <c r="K138" t="s">
        <v>578</v>
      </c>
      <c r="L138" s="5" t="s">
        <v>583</v>
      </c>
      <c r="M138" s="5" t="s">
        <v>586</v>
      </c>
      <c r="N138" s="7" t="str">
        <f t="shared" si="10"/>
        <v>2025</v>
      </c>
      <c r="O138" s="7" t="str">
        <f t="shared" si="11"/>
        <v>Sep</v>
      </c>
      <c r="P138" s="7" t="str">
        <f t="shared" si="12"/>
        <v>Sat</v>
      </c>
      <c r="Q138" t="str">
        <f t="shared" si="13"/>
        <v>Discounted</v>
      </c>
      <c r="R138" t="str">
        <f t="shared" si="14"/>
        <v>Check Return Policy</v>
      </c>
    </row>
    <row r="139" spans="1:18" x14ac:dyDescent="0.25">
      <c r="A139" s="4">
        <v>1138</v>
      </c>
      <c r="B139" s="5" t="s">
        <v>150</v>
      </c>
      <c r="C139" s="5" t="s">
        <v>513</v>
      </c>
      <c r="D139" s="5" t="s">
        <v>548</v>
      </c>
      <c r="E139" s="5" t="s">
        <v>570</v>
      </c>
      <c r="F139" s="5" t="s">
        <v>575</v>
      </c>
      <c r="G139" s="4">
        <v>11</v>
      </c>
      <c r="H139" s="4">
        <v>15</v>
      </c>
      <c r="I139" s="4">
        <v>10</v>
      </c>
      <c r="J139" s="6">
        <v>45773</v>
      </c>
      <c r="K139" t="s">
        <v>578</v>
      </c>
      <c r="L139" s="5" t="s">
        <v>582</v>
      </c>
      <c r="M139" s="5" t="s">
        <v>585</v>
      </c>
      <c r="N139" s="7" t="str">
        <f t="shared" si="10"/>
        <v>2025</v>
      </c>
      <c r="O139" s="7" t="str">
        <f t="shared" si="11"/>
        <v>Apr</v>
      </c>
      <c r="P139" s="7" t="str">
        <f t="shared" si="12"/>
        <v>Sat</v>
      </c>
      <c r="Q139" t="str">
        <f t="shared" si="13"/>
        <v>Discounted</v>
      </c>
      <c r="R139" t="str">
        <f t="shared" si="14"/>
        <v>No Action</v>
      </c>
    </row>
    <row r="140" spans="1:18" x14ac:dyDescent="0.25">
      <c r="A140" s="4">
        <v>1139</v>
      </c>
      <c r="B140" s="5" t="s">
        <v>151</v>
      </c>
      <c r="C140" s="5" t="s">
        <v>514</v>
      </c>
      <c r="D140" s="5" t="s">
        <v>525</v>
      </c>
      <c r="E140" s="5" t="s">
        <v>565</v>
      </c>
      <c r="F140" s="5" t="s">
        <v>575</v>
      </c>
      <c r="G140" s="4">
        <v>4</v>
      </c>
      <c r="H140" s="4">
        <v>7</v>
      </c>
      <c r="I140" s="4">
        <v>10</v>
      </c>
      <c r="J140" s="6">
        <v>45775</v>
      </c>
      <c r="K140" t="s">
        <v>581</v>
      </c>
      <c r="L140" s="5" t="s">
        <v>582</v>
      </c>
      <c r="M140" s="5" t="s">
        <v>585</v>
      </c>
      <c r="N140" s="7" t="str">
        <f t="shared" si="10"/>
        <v>2025</v>
      </c>
      <c r="O140" s="7" t="str">
        <f t="shared" si="11"/>
        <v>Apr</v>
      </c>
      <c r="P140" s="7" t="str">
        <f t="shared" si="12"/>
        <v>Mon</v>
      </c>
      <c r="Q140" t="str">
        <f t="shared" si="13"/>
        <v>Discounted</v>
      </c>
      <c r="R140" t="str">
        <f t="shared" si="14"/>
        <v>No Action</v>
      </c>
    </row>
    <row r="141" spans="1:18" x14ac:dyDescent="0.25">
      <c r="A141" s="4">
        <v>1140</v>
      </c>
      <c r="B141" s="5" t="s">
        <v>152</v>
      </c>
      <c r="C141" s="5" t="s">
        <v>511</v>
      </c>
      <c r="D141" s="5" t="s">
        <v>531</v>
      </c>
      <c r="E141" s="5" t="s">
        <v>570</v>
      </c>
      <c r="F141" s="5" t="s">
        <v>575</v>
      </c>
      <c r="G141" s="4">
        <v>20</v>
      </c>
      <c r="H141" s="4">
        <v>2</v>
      </c>
      <c r="I141" s="4">
        <v>0</v>
      </c>
      <c r="J141" s="6">
        <v>46010</v>
      </c>
      <c r="K141" t="s">
        <v>578</v>
      </c>
      <c r="L141" s="5" t="s">
        <v>583</v>
      </c>
      <c r="M141" s="5" t="s">
        <v>585</v>
      </c>
      <c r="N141" s="7" t="str">
        <f t="shared" si="10"/>
        <v>2025</v>
      </c>
      <c r="O141" s="7" t="str">
        <f t="shared" si="11"/>
        <v>Dec</v>
      </c>
      <c r="P141" s="7" t="str">
        <f t="shared" si="12"/>
        <v>Fri</v>
      </c>
      <c r="Q141" t="str">
        <f t="shared" si="13"/>
        <v>Full Price</v>
      </c>
      <c r="R141" t="str">
        <f t="shared" si="14"/>
        <v>No Action</v>
      </c>
    </row>
    <row r="142" spans="1:18" x14ac:dyDescent="0.25">
      <c r="A142" s="4">
        <v>1141</v>
      </c>
      <c r="B142" s="5" t="s">
        <v>153</v>
      </c>
      <c r="C142" s="5" t="s">
        <v>512</v>
      </c>
      <c r="D142" s="5" t="s">
        <v>518</v>
      </c>
      <c r="E142" s="5" t="s">
        <v>574</v>
      </c>
      <c r="F142" s="5" t="s">
        <v>576</v>
      </c>
      <c r="G142" s="4">
        <v>16</v>
      </c>
      <c r="H142" s="4">
        <v>78</v>
      </c>
      <c r="I142" s="4">
        <v>10</v>
      </c>
      <c r="J142" s="6">
        <v>45968</v>
      </c>
      <c r="K142" t="s">
        <v>579</v>
      </c>
      <c r="L142" s="5" t="s">
        <v>584</v>
      </c>
      <c r="M142" s="5" t="s">
        <v>586</v>
      </c>
      <c r="N142" s="7" t="str">
        <f t="shared" si="10"/>
        <v>2025</v>
      </c>
      <c r="O142" s="7" t="str">
        <f t="shared" si="11"/>
        <v>Nov</v>
      </c>
      <c r="P142" s="7" t="str">
        <f t="shared" si="12"/>
        <v>Fri</v>
      </c>
      <c r="Q142" t="str">
        <f t="shared" si="13"/>
        <v>Discounted</v>
      </c>
      <c r="R142" t="str">
        <f t="shared" si="14"/>
        <v>Check Return Policy</v>
      </c>
    </row>
    <row r="143" spans="1:18" x14ac:dyDescent="0.25">
      <c r="A143" s="4">
        <v>1142</v>
      </c>
      <c r="B143" s="5" t="s">
        <v>154</v>
      </c>
      <c r="C143" s="5" t="s">
        <v>512</v>
      </c>
      <c r="D143" s="5" t="s">
        <v>515</v>
      </c>
      <c r="E143" s="5" t="s">
        <v>570</v>
      </c>
      <c r="F143" s="5" t="s">
        <v>575</v>
      </c>
      <c r="G143" s="4">
        <v>19</v>
      </c>
      <c r="H143" s="4">
        <v>8</v>
      </c>
      <c r="I143" s="4">
        <v>10</v>
      </c>
      <c r="J143" s="6">
        <v>45743</v>
      </c>
      <c r="K143" t="s">
        <v>578</v>
      </c>
      <c r="L143" s="5" t="s">
        <v>582</v>
      </c>
      <c r="M143" s="5" t="s">
        <v>585</v>
      </c>
      <c r="N143" s="7" t="str">
        <f t="shared" si="10"/>
        <v>2025</v>
      </c>
      <c r="O143" s="7" t="str">
        <f t="shared" si="11"/>
        <v>Mar</v>
      </c>
      <c r="P143" s="7" t="str">
        <f t="shared" si="12"/>
        <v>Thu</v>
      </c>
      <c r="Q143" t="str">
        <f t="shared" si="13"/>
        <v>Discounted</v>
      </c>
      <c r="R143" t="str">
        <f t="shared" si="14"/>
        <v>No Action</v>
      </c>
    </row>
    <row r="144" spans="1:18" x14ac:dyDescent="0.25">
      <c r="A144" s="4">
        <v>1143</v>
      </c>
      <c r="B144" s="5" t="s">
        <v>155</v>
      </c>
      <c r="C144" s="5" t="s">
        <v>513</v>
      </c>
      <c r="D144" s="5" t="s">
        <v>519</v>
      </c>
      <c r="E144" s="5" t="s">
        <v>572</v>
      </c>
      <c r="F144" s="5" t="s">
        <v>577</v>
      </c>
      <c r="G144" s="4">
        <v>9</v>
      </c>
      <c r="H144" s="4">
        <v>50</v>
      </c>
      <c r="I144" s="4">
        <v>5</v>
      </c>
      <c r="J144" s="6">
        <v>45865</v>
      </c>
      <c r="K144" t="s">
        <v>580</v>
      </c>
      <c r="L144" s="5" t="s">
        <v>583</v>
      </c>
      <c r="M144" s="5" t="s">
        <v>586</v>
      </c>
      <c r="N144" s="7" t="str">
        <f t="shared" si="10"/>
        <v>2025</v>
      </c>
      <c r="O144" s="7" t="str">
        <f t="shared" si="11"/>
        <v>Jul</v>
      </c>
      <c r="P144" s="7" t="str">
        <f t="shared" si="12"/>
        <v>Sun</v>
      </c>
      <c r="Q144" t="str">
        <f t="shared" si="13"/>
        <v>Discounted</v>
      </c>
      <c r="R144" t="str">
        <f t="shared" si="14"/>
        <v>Check Return Policy</v>
      </c>
    </row>
    <row r="145" spans="1:18" x14ac:dyDescent="0.25">
      <c r="A145" s="4">
        <v>1144</v>
      </c>
      <c r="B145" s="5" t="s">
        <v>156</v>
      </c>
      <c r="C145" s="5" t="s">
        <v>511</v>
      </c>
      <c r="D145" s="5" t="s">
        <v>543</v>
      </c>
      <c r="E145" s="5" t="s">
        <v>570</v>
      </c>
      <c r="F145" s="5" t="s">
        <v>575</v>
      </c>
      <c r="G145" s="4">
        <v>6</v>
      </c>
      <c r="H145" s="4">
        <v>6</v>
      </c>
      <c r="I145" s="4">
        <v>15</v>
      </c>
      <c r="J145" s="6">
        <v>45740</v>
      </c>
      <c r="K145" t="s">
        <v>581</v>
      </c>
      <c r="L145" s="5" t="s">
        <v>582</v>
      </c>
      <c r="M145" s="5" t="s">
        <v>585</v>
      </c>
      <c r="N145" s="7" t="str">
        <f t="shared" si="10"/>
        <v>2025</v>
      </c>
      <c r="O145" s="7" t="str">
        <f t="shared" si="11"/>
        <v>Mar</v>
      </c>
      <c r="P145" s="7" t="str">
        <f t="shared" si="12"/>
        <v>Mon</v>
      </c>
      <c r="Q145" t="str">
        <f t="shared" si="13"/>
        <v>Discounted</v>
      </c>
      <c r="R145" t="str">
        <f t="shared" si="14"/>
        <v>No Action</v>
      </c>
    </row>
    <row r="146" spans="1:18" x14ac:dyDescent="0.25">
      <c r="A146" s="4">
        <v>1145</v>
      </c>
      <c r="B146" s="5" t="s">
        <v>157</v>
      </c>
      <c r="C146" s="5" t="s">
        <v>512</v>
      </c>
      <c r="D146" s="5" t="s">
        <v>557</v>
      </c>
      <c r="E146" s="5" t="s">
        <v>569</v>
      </c>
      <c r="F146" s="5" t="s">
        <v>576</v>
      </c>
      <c r="G146" s="4">
        <v>15</v>
      </c>
      <c r="H146" s="4">
        <v>577</v>
      </c>
      <c r="I146" s="4">
        <v>0</v>
      </c>
      <c r="J146" s="6">
        <v>45751</v>
      </c>
      <c r="K146" t="s">
        <v>579</v>
      </c>
      <c r="L146" s="5" t="s">
        <v>583</v>
      </c>
      <c r="M146" s="5" t="s">
        <v>586</v>
      </c>
      <c r="N146" s="7" t="str">
        <f t="shared" si="10"/>
        <v>2025</v>
      </c>
      <c r="O146" s="7" t="str">
        <f t="shared" si="11"/>
        <v>Apr</v>
      </c>
      <c r="P146" s="7" t="str">
        <f t="shared" si="12"/>
        <v>Fri</v>
      </c>
      <c r="Q146" t="str">
        <f t="shared" si="13"/>
        <v>Full Price</v>
      </c>
      <c r="R146" t="str">
        <f t="shared" si="14"/>
        <v>Check Return Policy</v>
      </c>
    </row>
    <row r="147" spans="1:18" x14ac:dyDescent="0.25">
      <c r="A147" s="4">
        <v>1146</v>
      </c>
      <c r="B147" s="5" t="s">
        <v>158</v>
      </c>
      <c r="C147" s="5" t="s">
        <v>511</v>
      </c>
      <c r="D147" s="5" t="s">
        <v>531</v>
      </c>
      <c r="E147" s="5" t="s">
        <v>566</v>
      </c>
      <c r="F147" s="5" t="s">
        <v>576</v>
      </c>
      <c r="G147" s="4">
        <v>8</v>
      </c>
      <c r="H147" s="4">
        <v>444</v>
      </c>
      <c r="I147" s="4">
        <v>15</v>
      </c>
      <c r="J147" s="6">
        <v>45884</v>
      </c>
      <c r="K147" t="s">
        <v>578</v>
      </c>
      <c r="L147" s="5" t="s">
        <v>584</v>
      </c>
      <c r="M147" s="5" t="s">
        <v>585</v>
      </c>
      <c r="N147" s="7" t="str">
        <f t="shared" si="10"/>
        <v>2025</v>
      </c>
      <c r="O147" s="7" t="str">
        <f t="shared" si="11"/>
        <v>Aug</v>
      </c>
      <c r="P147" s="7" t="str">
        <f t="shared" si="12"/>
        <v>Fri</v>
      </c>
      <c r="Q147" t="str">
        <f t="shared" si="13"/>
        <v>Discounted</v>
      </c>
      <c r="R147" t="str">
        <f t="shared" si="14"/>
        <v>No Action</v>
      </c>
    </row>
    <row r="148" spans="1:18" x14ac:dyDescent="0.25">
      <c r="A148" s="4">
        <v>1147</v>
      </c>
      <c r="B148" s="5" t="s">
        <v>159</v>
      </c>
      <c r="C148" s="5" t="s">
        <v>511</v>
      </c>
      <c r="D148" s="5" t="s">
        <v>522</v>
      </c>
      <c r="E148" s="5" t="s">
        <v>572</v>
      </c>
      <c r="F148" s="5" t="s">
        <v>577</v>
      </c>
      <c r="G148" s="4">
        <v>2</v>
      </c>
      <c r="H148" s="4">
        <v>222</v>
      </c>
      <c r="I148" s="4">
        <v>10</v>
      </c>
      <c r="J148" s="6">
        <v>45706</v>
      </c>
      <c r="K148" t="s">
        <v>579</v>
      </c>
      <c r="L148" s="5" t="s">
        <v>583</v>
      </c>
      <c r="M148" s="5" t="s">
        <v>586</v>
      </c>
      <c r="N148" s="7" t="str">
        <f t="shared" si="10"/>
        <v>2025</v>
      </c>
      <c r="O148" s="7" t="str">
        <f t="shared" si="11"/>
        <v>Feb</v>
      </c>
      <c r="P148" s="7" t="str">
        <f t="shared" si="12"/>
        <v>Tue</v>
      </c>
      <c r="Q148" t="str">
        <f t="shared" si="13"/>
        <v>Discounted</v>
      </c>
      <c r="R148" t="str">
        <f t="shared" si="14"/>
        <v>Check Return Policy</v>
      </c>
    </row>
    <row r="149" spans="1:18" x14ac:dyDescent="0.25">
      <c r="A149" s="4">
        <v>1148</v>
      </c>
      <c r="B149" s="5" t="s">
        <v>160</v>
      </c>
      <c r="C149" s="5" t="s">
        <v>511</v>
      </c>
      <c r="D149" s="5" t="s">
        <v>519</v>
      </c>
      <c r="E149" s="5" t="s">
        <v>569</v>
      </c>
      <c r="F149" s="5" t="s">
        <v>576</v>
      </c>
      <c r="G149" s="4">
        <v>10</v>
      </c>
      <c r="H149" s="4">
        <v>463</v>
      </c>
      <c r="I149" s="4">
        <v>10</v>
      </c>
      <c r="J149" s="6">
        <v>45754</v>
      </c>
      <c r="K149" t="s">
        <v>578</v>
      </c>
      <c r="L149" s="5" t="s">
        <v>582</v>
      </c>
      <c r="M149" s="5" t="s">
        <v>586</v>
      </c>
      <c r="N149" s="7" t="str">
        <f t="shared" si="10"/>
        <v>2025</v>
      </c>
      <c r="O149" s="7" t="str">
        <f t="shared" si="11"/>
        <v>Apr</v>
      </c>
      <c r="P149" s="7" t="str">
        <f t="shared" si="12"/>
        <v>Mon</v>
      </c>
      <c r="Q149" t="str">
        <f t="shared" si="13"/>
        <v>Discounted</v>
      </c>
      <c r="R149" t="str">
        <f t="shared" si="14"/>
        <v>Check Return Policy</v>
      </c>
    </row>
    <row r="150" spans="1:18" x14ac:dyDescent="0.25">
      <c r="A150" s="4">
        <v>1149</v>
      </c>
      <c r="B150" s="5" t="s">
        <v>161</v>
      </c>
      <c r="C150" s="5" t="s">
        <v>513</v>
      </c>
      <c r="D150" s="5" t="s">
        <v>552</v>
      </c>
      <c r="E150" s="5" t="s">
        <v>567</v>
      </c>
      <c r="F150" s="5" t="s">
        <v>576</v>
      </c>
      <c r="G150" s="4">
        <v>16</v>
      </c>
      <c r="H150" s="4">
        <v>969</v>
      </c>
      <c r="I150" s="4">
        <v>10</v>
      </c>
      <c r="J150" s="6">
        <v>45710</v>
      </c>
      <c r="K150" t="s">
        <v>578</v>
      </c>
      <c r="L150" s="5" t="s">
        <v>583</v>
      </c>
      <c r="M150" s="5" t="s">
        <v>586</v>
      </c>
      <c r="N150" s="7" t="str">
        <f t="shared" si="10"/>
        <v>2025</v>
      </c>
      <c r="O150" s="7" t="str">
        <f t="shared" si="11"/>
        <v>Feb</v>
      </c>
      <c r="P150" s="7" t="str">
        <f t="shared" si="12"/>
        <v>Sat</v>
      </c>
      <c r="Q150" t="str">
        <f t="shared" si="13"/>
        <v>Discounted</v>
      </c>
      <c r="R150" t="str">
        <f t="shared" si="14"/>
        <v>Check Return Policy</v>
      </c>
    </row>
    <row r="151" spans="1:18" x14ac:dyDescent="0.25">
      <c r="A151" s="4">
        <v>1150</v>
      </c>
      <c r="B151" s="5" t="s">
        <v>162</v>
      </c>
      <c r="C151" s="5" t="s">
        <v>513</v>
      </c>
      <c r="D151" s="5" t="s">
        <v>544</v>
      </c>
      <c r="E151" s="5" t="s">
        <v>565</v>
      </c>
      <c r="F151" s="5" t="s">
        <v>575</v>
      </c>
      <c r="G151" s="4">
        <v>20</v>
      </c>
      <c r="H151" s="4">
        <v>8</v>
      </c>
      <c r="I151" s="4">
        <v>0</v>
      </c>
      <c r="J151" s="6">
        <v>45922</v>
      </c>
      <c r="K151" t="s">
        <v>580</v>
      </c>
      <c r="L151" s="5" t="s">
        <v>583</v>
      </c>
      <c r="M151" s="5" t="s">
        <v>585</v>
      </c>
      <c r="N151" s="7" t="str">
        <f t="shared" si="10"/>
        <v>2025</v>
      </c>
      <c r="O151" s="7" t="str">
        <f t="shared" si="11"/>
        <v>Sep</v>
      </c>
      <c r="P151" s="7" t="str">
        <f t="shared" si="12"/>
        <v>Mon</v>
      </c>
      <c r="Q151" t="str">
        <f t="shared" si="13"/>
        <v>Full Price</v>
      </c>
      <c r="R151" t="str">
        <f t="shared" si="14"/>
        <v>No Action</v>
      </c>
    </row>
    <row r="152" spans="1:18" x14ac:dyDescent="0.25">
      <c r="A152" s="4">
        <v>1151</v>
      </c>
      <c r="B152" s="5" t="s">
        <v>163</v>
      </c>
      <c r="C152" s="5" t="s">
        <v>513</v>
      </c>
      <c r="D152" s="5" t="s">
        <v>538</v>
      </c>
      <c r="E152" s="5" t="s">
        <v>572</v>
      </c>
      <c r="F152" s="5" t="s">
        <v>577</v>
      </c>
      <c r="G152" s="4">
        <v>7</v>
      </c>
      <c r="H152" s="4">
        <v>185</v>
      </c>
      <c r="I152" s="4">
        <v>0</v>
      </c>
      <c r="J152" s="6">
        <v>45795</v>
      </c>
      <c r="K152" t="s">
        <v>579</v>
      </c>
      <c r="L152" s="5" t="s">
        <v>584</v>
      </c>
      <c r="M152" s="5" t="s">
        <v>586</v>
      </c>
      <c r="N152" s="7" t="str">
        <f t="shared" si="10"/>
        <v>2025</v>
      </c>
      <c r="O152" s="7" t="str">
        <f t="shared" si="11"/>
        <v>May</v>
      </c>
      <c r="P152" s="7" t="str">
        <f t="shared" si="12"/>
        <v>Sun</v>
      </c>
      <c r="Q152" t="str">
        <f t="shared" si="13"/>
        <v>Full Price</v>
      </c>
      <c r="R152" t="str">
        <f t="shared" si="14"/>
        <v>Check Return Policy</v>
      </c>
    </row>
    <row r="153" spans="1:18" x14ac:dyDescent="0.25">
      <c r="A153" s="4">
        <v>1152</v>
      </c>
      <c r="B153" s="5" t="s">
        <v>164</v>
      </c>
      <c r="C153" s="5" t="s">
        <v>513</v>
      </c>
      <c r="D153" s="5" t="s">
        <v>561</v>
      </c>
      <c r="E153" s="5" t="s">
        <v>569</v>
      </c>
      <c r="F153" s="5" t="s">
        <v>576</v>
      </c>
      <c r="G153" s="4">
        <v>9</v>
      </c>
      <c r="H153" s="4">
        <v>810</v>
      </c>
      <c r="I153" s="4">
        <v>5</v>
      </c>
      <c r="J153" s="6">
        <v>45858</v>
      </c>
      <c r="K153" t="s">
        <v>581</v>
      </c>
      <c r="L153" s="5" t="s">
        <v>582</v>
      </c>
      <c r="M153" s="5" t="s">
        <v>586</v>
      </c>
      <c r="N153" s="7" t="str">
        <f t="shared" si="10"/>
        <v>2025</v>
      </c>
      <c r="O153" s="7" t="str">
        <f t="shared" si="11"/>
        <v>Jul</v>
      </c>
      <c r="P153" s="7" t="str">
        <f t="shared" si="12"/>
        <v>Sun</v>
      </c>
      <c r="Q153" t="str">
        <f t="shared" si="13"/>
        <v>Discounted</v>
      </c>
      <c r="R153" t="str">
        <f t="shared" si="14"/>
        <v>Check Return Policy</v>
      </c>
    </row>
    <row r="154" spans="1:18" x14ac:dyDescent="0.25">
      <c r="A154" s="4">
        <v>1153</v>
      </c>
      <c r="B154" s="5" t="s">
        <v>165</v>
      </c>
      <c r="C154" s="5" t="s">
        <v>512</v>
      </c>
      <c r="D154" s="5" t="s">
        <v>552</v>
      </c>
      <c r="E154" s="5" t="s">
        <v>572</v>
      </c>
      <c r="F154" s="5" t="s">
        <v>577</v>
      </c>
      <c r="G154" s="4">
        <v>2</v>
      </c>
      <c r="H154" s="4">
        <v>238</v>
      </c>
      <c r="I154" s="4">
        <v>10</v>
      </c>
      <c r="J154" s="6">
        <v>45894</v>
      </c>
      <c r="K154" t="s">
        <v>579</v>
      </c>
      <c r="L154" s="5" t="s">
        <v>582</v>
      </c>
      <c r="M154" s="5" t="s">
        <v>585</v>
      </c>
      <c r="N154" s="7" t="str">
        <f t="shared" si="10"/>
        <v>2025</v>
      </c>
      <c r="O154" s="7" t="str">
        <f t="shared" si="11"/>
        <v>Aug</v>
      </c>
      <c r="P154" s="7" t="str">
        <f t="shared" si="12"/>
        <v>Mon</v>
      </c>
      <c r="Q154" t="str">
        <f t="shared" si="13"/>
        <v>Discounted</v>
      </c>
      <c r="R154" t="str">
        <f t="shared" si="14"/>
        <v>No Action</v>
      </c>
    </row>
    <row r="155" spans="1:18" x14ac:dyDescent="0.25">
      <c r="A155" s="4">
        <v>1154</v>
      </c>
      <c r="B155" s="5" t="s">
        <v>166</v>
      </c>
      <c r="C155" s="5" t="s">
        <v>514</v>
      </c>
      <c r="D155" s="5" t="s">
        <v>538</v>
      </c>
      <c r="E155" s="5" t="s">
        <v>569</v>
      </c>
      <c r="F155" s="5" t="s">
        <v>576</v>
      </c>
      <c r="G155" s="4">
        <v>15</v>
      </c>
      <c r="H155" s="4">
        <v>663</v>
      </c>
      <c r="I155" s="4">
        <v>15</v>
      </c>
      <c r="J155" s="6">
        <v>45937</v>
      </c>
      <c r="K155" t="s">
        <v>581</v>
      </c>
      <c r="L155" s="5" t="s">
        <v>584</v>
      </c>
      <c r="M155" s="5" t="s">
        <v>586</v>
      </c>
      <c r="N155" s="7" t="str">
        <f t="shared" si="10"/>
        <v>2025</v>
      </c>
      <c r="O155" s="7" t="str">
        <f t="shared" si="11"/>
        <v>Oct</v>
      </c>
      <c r="P155" s="7" t="str">
        <f t="shared" si="12"/>
        <v>Tue</v>
      </c>
      <c r="Q155" t="str">
        <f t="shared" si="13"/>
        <v>Discounted</v>
      </c>
      <c r="R155" t="str">
        <f t="shared" si="14"/>
        <v>Check Return Policy</v>
      </c>
    </row>
    <row r="156" spans="1:18" x14ac:dyDescent="0.25">
      <c r="A156" s="4">
        <v>1155</v>
      </c>
      <c r="B156" s="5" t="s">
        <v>167</v>
      </c>
      <c r="C156" s="5" t="s">
        <v>511</v>
      </c>
      <c r="D156" s="5" t="s">
        <v>535</v>
      </c>
      <c r="E156" s="5" t="s">
        <v>566</v>
      </c>
      <c r="F156" s="5" t="s">
        <v>576</v>
      </c>
      <c r="G156" s="4">
        <v>14</v>
      </c>
      <c r="H156" s="4">
        <v>482</v>
      </c>
      <c r="I156" s="4">
        <v>5</v>
      </c>
      <c r="J156" s="6">
        <v>45868</v>
      </c>
      <c r="K156" t="s">
        <v>580</v>
      </c>
      <c r="L156" s="5" t="s">
        <v>582</v>
      </c>
      <c r="M156" s="5" t="s">
        <v>585</v>
      </c>
      <c r="N156" s="7" t="str">
        <f t="shared" si="10"/>
        <v>2025</v>
      </c>
      <c r="O156" s="7" t="str">
        <f t="shared" si="11"/>
        <v>Jul</v>
      </c>
      <c r="P156" s="7" t="str">
        <f t="shared" si="12"/>
        <v>Wed</v>
      </c>
      <c r="Q156" t="str">
        <f t="shared" si="13"/>
        <v>Discounted</v>
      </c>
      <c r="R156" t="str">
        <f t="shared" si="14"/>
        <v>No Action</v>
      </c>
    </row>
    <row r="157" spans="1:18" x14ac:dyDescent="0.25">
      <c r="A157" s="4">
        <v>1156</v>
      </c>
      <c r="B157" s="5" t="s">
        <v>168</v>
      </c>
      <c r="C157" s="5" t="s">
        <v>513</v>
      </c>
      <c r="D157" s="5" t="s">
        <v>534</v>
      </c>
      <c r="E157" s="5" t="s">
        <v>568</v>
      </c>
      <c r="F157" s="5" t="s">
        <v>577</v>
      </c>
      <c r="G157" s="4">
        <v>4</v>
      </c>
      <c r="H157" s="4">
        <v>198</v>
      </c>
      <c r="I157" s="4">
        <v>10</v>
      </c>
      <c r="J157" s="6">
        <v>45746</v>
      </c>
      <c r="K157" t="s">
        <v>578</v>
      </c>
      <c r="L157" s="5" t="s">
        <v>584</v>
      </c>
      <c r="M157" s="5" t="s">
        <v>585</v>
      </c>
      <c r="N157" s="7" t="str">
        <f t="shared" si="10"/>
        <v>2025</v>
      </c>
      <c r="O157" s="7" t="str">
        <f t="shared" si="11"/>
        <v>Mar</v>
      </c>
      <c r="P157" s="7" t="str">
        <f t="shared" si="12"/>
        <v>Sun</v>
      </c>
      <c r="Q157" t="str">
        <f t="shared" si="13"/>
        <v>Discounted</v>
      </c>
      <c r="R157" t="str">
        <f t="shared" si="14"/>
        <v>No Action</v>
      </c>
    </row>
    <row r="158" spans="1:18" x14ac:dyDescent="0.25">
      <c r="A158" s="4">
        <v>1157</v>
      </c>
      <c r="B158" s="5" t="s">
        <v>169</v>
      </c>
      <c r="C158" s="5" t="s">
        <v>512</v>
      </c>
      <c r="D158" s="5" t="s">
        <v>528</v>
      </c>
      <c r="E158" s="5" t="s">
        <v>569</v>
      </c>
      <c r="F158" s="5" t="s">
        <v>576</v>
      </c>
      <c r="G158" s="4">
        <v>4</v>
      </c>
      <c r="H158" s="4">
        <v>994</v>
      </c>
      <c r="I158" s="4">
        <v>15</v>
      </c>
      <c r="J158" s="6">
        <v>45805</v>
      </c>
      <c r="K158" t="s">
        <v>581</v>
      </c>
      <c r="L158" s="5" t="s">
        <v>584</v>
      </c>
      <c r="M158" s="5" t="s">
        <v>585</v>
      </c>
      <c r="N158" s="7" t="str">
        <f t="shared" si="10"/>
        <v>2025</v>
      </c>
      <c r="O158" s="7" t="str">
        <f t="shared" si="11"/>
        <v>May</v>
      </c>
      <c r="P158" s="7" t="str">
        <f t="shared" si="12"/>
        <v>Wed</v>
      </c>
      <c r="Q158" t="str">
        <f t="shared" si="13"/>
        <v>Discounted</v>
      </c>
      <c r="R158" t="str">
        <f t="shared" si="14"/>
        <v>No Action</v>
      </c>
    </row>
    <row r="159" spans="1:18" x14ac:dyDescent="0.25">
      <c r="A159" s="4">
        <v>1158</v>
      </c>
      <c r="B159" s="5" t="s">
        <v>170</v>
      </c>
      <c r="C159" s="5" t="s">
        <v>512</v>
      </c>
      <c r="D159" s="5" t="s">
        <v>547</v>
      </c>
      <c r="E159" s="5" t="s">
        <v>573</v>
      </c>
      <c r="F159" s="5" t="s">
        <v>576</v>
      </c>
      <c r="G159" s="4">
        <v>12</v>
      </c>
      <c r="H159" s="4">
        <v>154</v>
      </c>
      <c r="I159" s="4">
        <v>0</v>
      </c>
      <c r="J159" s="6">
        <v>45919</v>
      </c>
      <c r="K159" t="s">
        <v>579</v>
      </c>
      <c r="L159" s="5" t="s">
        <v>582</v>
      </c>
      <c r="M159" s="5" t="s">
        <v>585</v>
      </c>
      <c r="N159" s="7" t="str">
        <f t="shared" si="10"/>
        <v>2025</v>
      </c>
      <c r="O159" s="7" t="str">
        <f t="shared" si="11"/>
        <v>Sep</v>
      </c>
      <c r="P159" s="7" t="str">
        <f t="shared" si="12"/>
        <v>Fri</v>
      </c>
      <c r="Q159" t="str">
        <f t="shared" si="13"/>
        <v>Full Price</v>
      </c>
      <c r="R159" t="str">
        <f t="shared" si="14"/>
        <v>No Action</v>
      </c>
    </row>
    <row r="160" spans="1:18" x14ac:dyDescent="0.25">
      <c r="A160" s="4">
        <v>1159</v>
      </c>
      <c r="B160" s="5" t="s">
        <v>171</v>
      </c>
      <c r="C160" s="5" t="s">
        <v>512</v>
      </c>
      <c r="D160" s="5" t="s">
        <v>558</v>
      </c>
      <c r="E160" s="5" t="s">
        <v>565</v>
      </c>
      <c r="F160" s="5" t="s">
        <v>575</v>
      </c>
      <c r="G160" s="4">
        <v>4</v>
      </c>
      <c r="H160" s="4">
        <v>4</v>
      </c>
      <c r="I160" s="4">
        <v>0</v>
      </c>
      <c r="J160" s="6">
        <v>45941</v>
      </c>
      <c r="K160" t="s">
        <v>578</v>
      </c>
      <c r="L160" s="5" t="s">
        <v>582</v>
      </c>
      <c r="M160" s="5" t="s">
        <v>585</v>
      </c>
      <c r="N160" s="7" t="str">
        <f t="shared" si="10"/>
        <v>2025</v>
      </c>
      <c r="O160" s="7" t="str">
        <f t="shared" si="11"/>
        <v>Oct</v>
      </c>
      <c r="P160" s="7" t="str">
        <f t="shared" si="12"/>
        <v>Sat</v>
      </c>
      <c r="Q160" t="str">
        <f t="shared" si="13"/>
        <v>Full Price</v>
      </c>
      <c r="R160" t="str">
        <f t="shared" si="14"/>
        <v>No Action</v>
      </c>
    </row>
    <row r="161" spans="1:18" x14ac:dyDescent="0.25">
      <c r="A161" s="4">
        <v>1160</v>
      </c>
      <c r="B161" s="5" t="s">
        <v>172</v>
      </c>
      <c r="C161" s="5" t="s">
        <v>513</v>
      </c>
      <c r="D161" s="5" t="s">
        <v>530</v>
      </c>
      <c r="E161" s="5" t="s">
        <v>569</v>
      </c>
      <c r="F161" s="5" t="s">
        <v>576</v>
      </c>
      <c r="G161" s="4">
        <v>3</v>
      </c>
      <c r="H161" s="4">
        <v>997</v>
      </c>
      <c r="I161" s="4">
        <v>5</v>
      </c>
      <c r="J161" s="6">
        <v>45875</v>
      </c>
      <c r="K161" t="s">
        <v>579</v>
      </c>
      <c r="L161" s="5" t="s">
        <v>583</v>
      </c>
      <c r="M161" s="5" t="s">
        <v>586</v>
      </c>
      <c r="N161" s="7" t="str">
        <f t="shared" si="10"/>
        <v>2025</v>
      </c>
      <c r="O161" s="7" t="str">
        <f t="shared" si="11"/>
        <v>Aug</v>
      </c>
      <c r="P161" s="7" t="str">
        <f t="shared" si="12"/>
        <v>Wed</v>
      </c>
      <c r="Q161" t="str">
        <f t="shared" si="13"/>
        <v>Discounted</v>
      </c>
      <c r="R161" t="str">
        <f t="shared" si="14"/>
        <v>Check Return Policy</v>
      </c>
    </row>
    <row r="162" spans="1:18" x14ac:dyDescent="0.25">
      <c r="A162" s="4">
        <v>1161</v>
      </c>
      <c r="B162" s="5" t="s">
        <v>173</v>
      </c>
      <c r="C162" s="5" t="s">
        <v>512</v>
      </c>
      <c r="D162" s="5" t="s">
        <v>532</v>
      </c>
      <c r="E162" s="5" t="s">
        <v>573</v>
      </c>
      <c r="F162" s="5" t="s">
        <v>576</v>
      </c>
      <c r="G162" s="4">
        <v>8</v>
      </c>
      <c r="H162" s="4">
        <v>352</v>
      </c>
      <c r="I162" s="4">
        <v>5</v>
      </c>
      <c r="J162" s="6">
        <v>45684</v>
      </c>
      <c r="K162" t="s">
        <v>580</v>
      </c>
      <c r="L162" s="5" t="s">
        <v>584</v>
      </c>
      <c r="M162" s="5" t="s">
        <v>585</v>
      </c>
      <c r="N162" s="7" t="str">
        <f t="shared" si="10"/>
        <v>2025</v>
      </c>
      <c r="O162" s="7" t="str">
        <f t="shared" si="11"/>
        <v>Jan</v>
      </c>
      <c r="P162" s="7" t="str">
        <f t="shared" si="12"/>
        <v>Mon</v>
      </c>
      <c r="Q162" t="str">
        <f t="shared" si="13"/>
        <v>Discounted</v>
      </c>
      <c r="R162" t="str">
        <f t="shared" si="14"/>
        <v>No Action</v>
      </c>
    </row>
    <row r="163" spans="1:18" x14ac:dyDescent="0.25">
      <c r="A163" s="4">
        <v>1162</v>
      </c>
      <c r="B163" s="5" t="s">
        <v>174</v>
      </c>
      <c r="C163" s="5" t="s">
        <v>512</v>
      </c>
      <c r="D163" s="5" t="s">
        <v>553</v>
      </c>
      <c r="E163" s="5" t="s">
        <v>566</v>
      </c>
      <c r="F163" s="5" t="s">
        <v>576</v>
      </c>
      <c r="G163" s="4">
        <v>4</v>
      </c>
      <c r="H163" s="4">
        <v>309</v>
      </c>
      <c r="I163" s="4">
        <v>10</v>
      </c>
      <c r="J163" s="6">
        <v>46012</v>
      </c>
      <c r="K163" t="s">
        <v>579</v>
      </c>
      <c r="L163" s="5" t="s">
        <v>582</v>
      </c>
      <c r="M163" s="5" t="s">
        <v>585</v>
      </c>
      <c r="N163" s="7" t="str">
        <f t="shared" si="10"/>
        <v>2025</v>
      </c>
      <c r="O163" s="7" t="str">
        <f t="shared" si="11"/>
        <v>Dec</v>
      </c>
      <c r="P163" s="7" t="str">
        <f t="shared" si="12"/>
        <v>Sun</v>
      </c>
      <c r="Q163" t="str">
        <f t="shared" si="13"/>
        <v>Discounted</v>
      </c>
      <c r="R163" t="str">
        <f t="shared" si="14"/>
        <v>No Action</v>
      </c>
    </row>
    <row r="164" spans="1:18" x14ac:dyDescent="0.25">
      <c r="A164" s="4">
        <v>1163</v>
      </c>
      <c r="B164" s="5" t="s">
        <v>175</v>
      </c>
      <c r="C164" s="5" t="s">
        <v>514</v>
      </c>
      <c r="D164" s="5" t="s">
        <v>554</v>
      </c>
      <c r="E164" s="5" t="s">
        <v>571</v>
      </c>
      <c r="F164" s="5" t="s">
        <v>577</v>
      </c>
      <c r="G164" s="4">
        <v>11</v>
      </c>
      <c r="H164" s="4">
        <v>52</v>
      </c>
      <c r="I164" s="4">
        <v>5</v>
      </c>
      <c r="J164" s="6">
        <v>45740</v>
      </c>
      <c r="K164" t="s">
        <v>581</v>
      </c>
      <c r="L164" s="5" t="s">
        <v>582</v>
      </c>
      <c r="M164" s="5" t="s">
        <v>586</v>
      </c>
      <c r="N164" s="7" t="str">
        <f t="shared" si="10"/>
        <v>2025</v>
      </c>
      <c r="O164" s="7" t="str">
        <f t="shared" si="11"/>
        <v>Mar</v>
      </c>
      <c r="P164" s="7" t="str">
        <f t="shared" si="12"/>
        <v>Mon</v>
      </c>
      <c r="Q164" t="str">
        <f t="shared" si="13"/>
        <v>Discounted</v>
      </c>
      <c r="R164" t="str">
        <f t="shared" si="14"/>
        <v>Check Return Policy</v>
      </c>
    </row>
    <row r="165" spans="1:18" x14ac:dyDescent="0.25">
      <c r="A165" s="4">
        <v>1164</v>
      </c>
      <c r="B165" s="5" t="s">
        <v>176</v>
      </c>
      <c r="C165" s="5" t="s">
        <v>514</v>
      </c>
      <c r="D165" s="5" t="s">
        <v>539</v>
      </c>
      <c r="E165" s="5" t="s">
        <v>571</v>
      </c>
      <c r="F165" s="5" t="s">
        <v>577</v>
      </c>
      <c r="G165" s="4">
        <v>4</v>
      </c>
      <c r="H165" s="4">
        <v>260</v>
      </c>
      <c r="I165" s="4">
        <v>0</v>
      </c>
      <c r="J165" s="6">
        <v>45726</v>
      </c>
      <c r="K165" t="s">
        <v>578</v>
      </c>
      <c r="L165" s="5" t="s">
        <v>582</v>
      </c>
      <c r="M165" s="5" t="s">
        <v>585</v>
      </c>
      <c r="N165" s="7" t="str">
        <f t="shared" si="10"/>
        <v>2025</v>
      </c>
      <c r="O165" s="7" t="str">
        <f t="shared" si="11"/>
        <v>Mar</v>
      </c>
      <c r="P165" s="7" t="str">
        <f t="shared" si="12"/>
        <v>Mon</v>
      </c>
      <c r="Q165" t="str">
        <f t="shared" si="13"/>
        <v>Full Price</v>
      </c>
      <c r="R165" t="str">
        <f t="shared" si="14"/>
        <v>No Action</v>
      </c>
    </row>
    <row r="166" spans="1:18" x14ac:dyDescent="0.25">
      <c r="A166" s="4">
        <v>1165</v>
      </c>
      <c r="B166" s="5" t="s">
        <v>177</v>
      </c>
      <c r="C166" s="5" t="s">
        <v>511</v>
      </c>
      <c r="D166" s="5" t="s">
        <v>555</v>
      </c>
      <c r="E166" s="5" t="s">
        <v>574</v>
      </c>
      <c r="F166" s="5" t="s">
        <v>576</v>
      </c>
      <c r="G166" s="4">
        <v>11</v>
      </c>
      <c r="H166" s="4">
        <v>33</v>
      </c>
      <c r="I166" s="4">
        <v>15</v>
      </c>
      <c r="J166" s="6">
        <v>45957</v>
      </c>
      <c r="K166" t="s">
        <v>578</v>
      </c>
      <c r="L166" s="5" t="s">
        <v>582</v>
      </c>
      <c r="M166" s="5" t="s">
        <v>585</v>
      </c>
      <c r="N166" s="7" t="str">
        <f t="shared" si="10"/>
        <v>2025</v>
      </c>
      <c r="O166" s="7" t="str">
        <f t="shared" si="11"/>
        <v>Oct</v>
      </c>
      <c r="P166" s="7" t="str">
        <f t="shared" si="12"/>
        <v>Mon</v>
      </c>
      <c r="Q166" t="str">
        <f t="shared" si="13"/>
        <v>Discounted</v>
      </c>
      <c r="R166" t="str">
        <f t="shared" si="14"/>
        <v>No Action</v>
      </c>
    </row>
    <row r="167" spans="1:18" x14ac:dyDescent="0.25">
      <c r="A167" s="4">
        <v>1166</v>
      </c>
      <c r="B167" s="5" t="s">
        <v>178</v>
      </c>
      <c r="C167" s="5" t="s">
        <v>512</v>
      </c>
      <c r="D167" s="5" t="s">
        <v>542</v>
      </c>
      <c r="E167" s="5" t="s">
        <v>574</v>
      </c>
      <c r="F167" s="5" t="s">
        <v>576</v>
      </c>
      <c r="G167" s="4">
        <v>12</v>
      </c>
      <c r="H167" s="4">
        <v>87</v>
      </c>
      <c r="I167" s="4">
        <v>10</v>
      </c>
      <c r="J167" s="6">
        <v>45896</v>
      </c>
      <c r="K167" t="s">
        <v>578</v>
      </c>
      <c r="L167" s="5" t="s">
        <v>583</v>
      </c>
      <c r="M167" s="5" t="s">
        <v>585</v>
      </c>
      <c r="N167" s="7" t="str">
        <f t="shared" si="10"/>
        <v>2025</v>
      </c>
      <c r="O167" s="7" t="str">
        <f t="shared" si="11"/>
        <v>Aug</v>
      </c>
      <c r="P167" s="7" t="str">
        <f t="shared" si="12"/>
        <v>Wed</v>
      </c>
      <c r="Q167" t="str">
        <f t="shared" si="13"/>
        <v>Discounted</v>
      </c>
      <c r="R167" t="str">
        <f t="shared" si="14"/>
        <v>No Action</v>
      </c>
    </row>
    <row r="168" spans="1:18" x14ac:dyDescent="0.25">
      <c r="A168" s="4">
        <v>1167</v>
      </c>
      <c r="B168" s="5" t="s">
        <v>179</v>
      </c>
      <c r="C168" s="5" t="s">
        <v>511</v>
      </c>
      <c r="D168" s="5" t="s">
        <v>548</v>
      </c>
      <c r="E168" s="5" t="s">
        <v>567</v>
      </c>
      <c r="F168" s="5" t="s">
        <v>576</v>
      </c>
      <c r="G168" s="4">
        <v>12</v>
      </c>
      <c r="H168" s="4">
        <v>890</v>
      </c>
      <c r="I168" s="4">
        <v>10</v>
      </c>
      <c r="J168" s="6">
        <v>45811</v>
      </c>
      <c r="K168" t="s">
        <v>578</v>
      </c>
      <c r="L168" s="5" t="s">
        <v>584</v>
      </c>
      <c r="M168" s="5" t="s">
        <v>586</v>
      </c>
      <c r="N168" s="7" t="str">
        <f t="shared" si="10"/>
        <v>2025</v>
      </c>
      <c r="O168" s="7" t="str">
        <f t="shared" si="11"/>
        <v>Jun</v>
      </c>
      <c r="P168" s="7" t="str">
        <f t="shared" si="12"/>
        <v>Tue</v>
      </c>
      <c r="Q168" t="str">
        <f t="shared" si="13"/>
        <v>Discounted</v>
      </c>
      <c r="R168" t="str">
        <f t="shared" si="14"/>
        <v>Check Return Policy</v>
      </c>
    </row>
    <row r="169" spans="1:18" x14ac:dyDescent="0.25">
      <c r="A169" s="4">
        <v>1168</v>
      </c>
      <c r="B169" s="5" t="s">
        <v>180</v>
      </c>
      <c r="C169" s="5" t="s">
        <v>512</v>
      </c>
      <c r="D169" s="5" t="s">
        <v>530</v>
      </c>
      <c r="E169" s="5" t="s">
        <v>574</v>
      </c>
      <c r="F169" s="5" t="s">
        <v>576</v>
      </c>
      <c r="G169" s="4">
        <v>13</v>
      </c>
      <c r="H169" s="4">
        <v>22</v>
      </c>
      <c r="I169" s="4">
        <v>10</v>
      </c>
      <c r="J169" s="6">
        <v>45838</v>
      </c>
      <c r="K169" t="s">
        <v>580</v>
      </c>
      <c r="L169" s="5" t="s">
        <v>583</v>
      </c>
      <c r="M169" s="5" t="s">
        <v>586</v>
      </c>
      <c r="N169" s="7" t="str">
        <f t="shared" si="10"/>
        <v>2025</v>
      </c>
      <c r="O169" s="7" t="str">
        <f t="shared" si="11"/>
        <v>Jun</v>
      </c>
      <c r="P169" s="7" t="str">
        <f t="shared" si="12"/>
        <v>Mon</v>
      </c>
      <c r="Q169" t="str">
        <f t="shared" si="13"/>
        <v>Discounted</v>
      </c>
      <c r="R169" t="str">
        <f t="shared" si="14"/>
        <v>Check Return Policy</v>
      </c>
    </row>
    <row r="170" spans="1:18" x14ac:dyDescent="0.25">
      <c r="A170" s="4">
        <v>1169</v>
      </c>
      <c r="B170" s="5" t="s">
        <v>181</v>
      </c>
      <c r="C170" s="5" t="s">
        <v>511</v>
      </c>
      <c r="D170" s="5" t="s">
        <v>562</v>
      </c>
      <c r="E170" s="5" t="s">
        <v>569</v>
      </c>
      <c r="F170" s="5" t="s">
        <v>576</v>
      </c>
      <c r="G170" s="4">
        <v>15</v>
      </c>
      <c r="H170" s="4">
        <v>449</v>
      </c>
      <c r="I170" s="4">
        <v>0</v>
      </c>
      <c r="J170" s="6">
        <v>45803</v>
      </c>
      <c r="K170" t="s">
        <v>581</v>
      </c>
      <c r="L170" s="5" t="s">
        <v>582</v>
      </c>
      <c r="M170" s="5" t="s">
        <v>585</v>
      </c>
      <c r="N170" s="7" t="str">
        <f t="shared" si="10"/>
        <v>2025</v>
      </c>
      <c r="O170" s="7" t="str">
        <f t="shared" si="11"/>
        <v>May</v>
      </c>
      <c r="P170" s="7" t="str">
        <f t="shared" si="12"/>
        <v>Mon</v>
      </c>
      <c r="Q170" t="str">
        <f t="shared" si="13"/>
        <v>Full Price</v>
      </c>
      <c r="R170" t="str">
        <f t="shared" si="14"/>
        <v>No Action</v>
      </c>
    </row>
    <row r="171" spans="1:18" x14ac:dyDescent="0.25">
      <c r="A171" s="4">
        <v>1170</v>
      </c>
      <c r="B171" s="5" t="s">
        <v>182</v>
      </c>
      <c r="C171" s="5" t="s">
        <v>512</v>
      </c>
      <c r="D171" s="5" t="s">
        <v>515</v>
      </c>
      <c r="E171" s="5" t="s">
        <v>571</v>
      </c>
      <c r="F171" s="5" t="s">
        <v>577</v>
      </c>
      <c r="G171" s="4">
        <v>18</v>
      </c>
      <c r="H171" s="4">
        <v>213</v>
      </c>
      <c r="I171" s="4">
        <v>10</v>
      </c>
      <c r="J171" s="6">
        <v>45661</v>
      </c>
      <c r="K171" t="s">
        <v>578</v>
      </c>
      <c r="L171" s="5" t="s">
        <v>584</v>
      </c>
      <c r="M171" s="5" t="s">
        <v>585</v>
      </c>
      <c r="N171" s="7" t="str">
        <f t="shared" si="10"/>
        <v>2025</v>
      </c>
      <c r="O171" s="7" t="str">
        <f t="shared" si="11"/>
        <v>Jan</v>
      </c>
      <c r="P171" s="7" t="str">
        <f t="shared" si="12"/>
        <v>Sat</v>
      </c>
      <c r="Q171" t="str">
        <f t="shared" si="13"/>
        <v>Discounted</v>
      </c>
      <c r="R171" t="str">
        <f t="shared" si="14"/>
        <v>No Action</v>
      </c>
    </row>
    <row r="172" spans="1:18" x14ac:dyDescent="0.25">
      <c r="A172" s="4">
        <v>1171</v>
      </c>
      <c r="B172" s="5" t="s">
        <v>183</v>
      </c>
      <c r="C172" s="5" t="s">
        <v>514</v>
      </c>
      <c r="D172" s="5" t="s">
        <v>537</v>
      </c>
      <c r="E172" s="5" t="s">
        <v>572</v>
      </c>
      <c r="F172" s="5" t="s">
        <v>577</v>
      </c>
      <c r="G172" s="4">
        <v>2</v>
      </c>
      <c r="H172" s="4">
        <v>210</v>
      </c>
      <c r="I172" s="4">
        <v>10</v>
      </c>
      <c r="J172" s="6">
        <v>45992</v>
      </c>
      <c r="K172" t="s">
        <v>579</v>
      </c>
      <c r="L172" s="5" t="s">
        <v>583</v>
      </c>
      <c r="M172" s="5" t="s">
        <v>586</v>
      </c>
      <c r="N172" s="7" t="str">
        <f t="shared" si="10"/>
        <v>2025</v>
      </c>
      <c r="O172" s="7" t="str">
        <f t="shared" si="11"/>
        <v>Dec</v>
      </c>
      <c r="P172" s="7" t="str">
        <f t="shared" si="12"/>
        <v>Mon</v>
      </c>
      <c r="Q172" t="str">
        <f t="shared" si="13"/>
        <v>Discounted</v>
      </c>
      <c r="R172" t="str">
        <f t="shared" si="14"/>
        <v>Check Return Policy</v>
      </c>
    </row>
    <row r="173" spans="1:18" x14ac:dyDescent="0.25">
      <c r="A173" s="4">
        <v>1172</v>
      </c>
      <c r="B173" s="5" t="s">
        <v>184</v>
      </c>
      <c r="C173" s="5" t="s">
        <v>512</v>
      </c>
      <c r="D173" s="5" t="s">
        <v>562</v>
      </c>
      <c r="E173" s="5" t="s">
        <v>570</v>
      </c>
      <c r="F173" s="5" t="s">
        <v>575</v>
      </c>
      <c r="G173" s="4">
        <v>7</v>
      </c>
      <c r="H173" s="4">
        <v>5</v>
      </c>
      <c r="I173" s="4">
        <v>10</v>
      </c>
      <c r="J173" s="6">
        <v>46009</v>
      </c>
      <c r="K173" t="s">
        <v>580</v>
      </c>
      <c r="L173" s="5" t="s">
        <v>584</v>
      </c>
      <c r="M173" s="5" t="s">
        <v>586</v>
      </c>
      <c r="N173" s="7" t="str">
        <f t="shared" si="10"/>
        <v>2025</v>
      </c>
      <c r="O173" s="7" t="str">
        <f t="shared" si="11"/>
        <v>Dec</v>
      </c>
      <c r="P173" s="7" t="str">
        <f t="shared" si="12"/>
        <v>Thu</v>
      </c>
      <c r="Q173" t="str">
        <f t="shared" si="13"/>
        <v>Discounted</v>
      </c>
      <c r="R173" t="str">
        <f t="shared" si="14"/>
        <v>Check Return Policy</v>
      </c>
    </row>
    <row r="174" spans="1:18" x14ac:dyDescent="0.25">
      <c r="A174" s="4">
        <v>1173</v>
      </c>
      <c r="B174" s="5" t="s">
        <v>185</v>
      </c>
      <c r="C174" s="5" t="s">
        <v>514</v>
      </c>
      <c r="D174" s="5" t="s">
        <v>517</v>
      </c>
      <c r="E174" s="5" t="s">
        <v>574</v>
      </c>
      <c r="F174" s="5" t="s">
        <v>576</v>
      </c>
      <c r="G174" s="4">
        <v>3</v>
      </c>
      <c r="H174" s="4">
        <v>39</v>
      </c>
      <c r="I174" s="4">
        <v>10</v>
      </c>
      <c r="J174" s="6">
        <v>45734</v>
      </c>
      <c r="K174" t="s">
        <v>578</v>
      </c>
      <c r="L174" s="5" t="s">
        <v>583</v>
      </c>
      <c r="M174" s="5" t="s">
        <v>585</v>
      </c>
      <c r="N174" s="7" t="str">
        <f t="shared" si="10"/>
        <v>2025</v>
      </c>
      <c r="O174" s="7" t="str">
        <f t="shared" si="11"/>
        <v>Mar</v>
      </c>
      <c r="P174" s="7" t="str">
        <f t="shared" si="12"/>
        <v>Tue</v>
      </c>
      <c r="Q174" t="str">
        <f t="shared" si="13"/>
        <v>Discounted</v>
      </c>
      <c r="R174" t="str">
        <f t="shared" si="14"/>
        <v>No Action</v>
      </c>
    </row>
    <row r="175" spans="1:18" x14ac:dyDescent="0.25">
      <c r="A175" s="4">
        <v>1174</v>
      </c>
      <c r="B175" s="5" t="s">
        <v>186</v>
      </c>
      <c r="C175" s="5" t="s">
        <v>512</v>
      </c>
      <c r="D175" s="5" t="s">
        <v>542</v>
      </c>
      <c r="E175" s="5" t="s">
        <v>572</v>
      </c>
      <c r="F175" s="5" t="s">
        <v>577</v>
      </c>
      <c r="G175" s="4">
        <v>17</v>
      </c>
      <c r="H175" s="4">
        <v>299</v>
      </c>
      <c r="I175" s="4">
        <v>10</v>
      </c>
      <c r="J175" s="6">
        <v>45911</v>
      </c>
      <c r="K175" t="s">
        <v>579</v>
      </c>
      <c r="L175" s="5" t="s">
        <v>583</v>
      </c>
      <c r="M175" s="5" t="s">
        <v>585</v>
      </c>
      <c r="N175" s="7" t="str">
        <f t="shared" si="10"/>
        <v>2025</v>
      </c>
      <c r="O175" s="7" t="str">
        <f t="shared" si="11"/>
        <v>Sep</v>
      </c>
      <c r="P175" s="7" t="str">
        <f t="shared" si="12"/>
        <v>Thu</v>
      </c>
      <c r="Q175" t="str">
        <f t="shared" si="13"/>
        <v>Discounted</v>
      </c>
      <c r="R175" t="str">
        <f t="shared" si="14"/>
        <v>No Action</v>
      </c>
    </row>
    <row r="176" spans="1:18" x14ac:dyDescent="0.25">
      <c r="A176" s="4">
        <v>1175</v>
      </c>
      <c r="B176" s="5" t="s">
        <v>187</v>
      </c>
      <c r="C176" s="5" t="s">
        <v>512</v>
      </c>
      <c r="D176" s="5" t="s">
        <v>518</v>
      </c>
      <c r="E176" s="5" t="s">
        <v>571</v>
      </c>
      <c r="F176" s="5" t="s">
        <v>577</v>
      </c>
      <c r="G176" s="4">
        <v>20</v>
      </c>
      <c r="H176" s="4">
        <v>140</v>
      </c>
      <c r="I176" s="4">
        <v>10</v>
      </c>
      <c r="J176" s="6">
        <v>45900</v>
      </c>
      <c r="K176" t="s">
        <v>580</v>
      </c>
      <c r="L176" s="5" t="s">
        <v>583</v>
      </c>
      <c r="M176" s="5" t="s">
        <v>586</v>
      </c>
      <c r="N176" s="7" t="str">
        <f t="shared" si="10"/>
        <v>2025</v>
      </c>
      <c r="O176" s="7" t="str">
        <f t="shared" si="11"/>
        <v>Aug</v>
      </c>
      <c r="P176" s="7" t="str">
        <f t="shared" si="12"/>
        <v>Sun</v>
      </c>
      <c r="Q176" t="str">
        <f t="shared" si="13"/>
        <v>Discounted</v>
      </c>
      <c r="R176" t="str">
        <f t="shared" si="14"/>
        <v>Check Return Policy</v>
      </c>
    </row>
    <row r="177" spans="1:18" x14ac:dyDescent="0.25">
      <c r="A177" s="4">
        <v>1176</v>
      </c>
      <c r="B177" s="5" t="s">
        <v>188</v>
      </c>
      <c r="C177" s="5" t="s">
        <v>513</v>
      </c>
      <c r="D177" s="5" t="s">
        <v>519</v>
      </c>
      <c r="E177" s="5" t="s">
        <v>573</v>
      </c>
      <c r="F177" s="5" t="s">
        <v>576</v>
      </c>
      <c r="G177" s="4">
        <v>4</v>
      </c>
      <c r="H177" s="4">
        <v>159</v>
      </c>
      <c r="I177" s="4">
        <v>5</v>
      </c>
      <c r="J177" s="6">
        <v>45960</v>
      </c>
      <c r="K177" t="s">
        <v>581</v>
      </c>
      <c r="L177" s="5" t="s">
        <v>584</v>
      </c>
      <c r="M177" s="5" t="s">
        <v>585</v>
      </c>
      <c r="N177" s="7" t="str">
        <f t="shared" si="10"/>
        <v>2025</v>
      </c>
      <c r="O177" s="7" t="str">
        <f t="shared" si="11"/>
        <v>Oct</v>
      </c>
      <c r="P177" s="7" t="str">
        <f t="shared" si="12"/>
        <v>Thu</v>
      </c>
      <c r="Q177" t="str">
        <f t="shared" si="13"/>
        <v>Discounted</v>
      </c>
      <c r="R177" t="str">
        <f t="shared" si="14"/>
        <v>No Action</v>
      </c>
    </row>
    <row r="178" spans="1:18" x14ac:dyDescent="0.25">
      <c r="A178" s="4">
        <v>1177</v>
      </c>
      <c r="B178" s="5" t="s">
        <v>189</v>
      </c>
      <c r="C178" s="5" t="s">
        <v>514</v>
      </c>
      <c r="D178" s="5" t="s">
        <v>538</v>
      </c>
      <c r="E178" s="5" t="s">
        <v>573</v>
      </c>
      <c r="F178" s="5" t="s">
        <v>576</v>
      </c>
      <c r="G178" s="4">
        <v>18</v>
      </c>
      <c r="H178" s="4">
        <v>110</v>
      </c>
      <c r="I178" s="4">
        <v>10</v>
      </c>
      <c r="J178" s="6">
        <v>45949</v>
      </c>
      <c r="K178" t="s">
        <v>580</v>
      </c>
      <c r="L178" s="5" t="s">
        <v>582</v>
      </c>
      <c r="M178" s="5" t="s">
        <v>586</v>
      </c>
      <c r="N178" s="7" t="str">
        <f t="shared" si="10"/>
        <v>2025</v>
      </c>
      <c r="O178" s="7" t="str">
        <f t="shared" si="11"/>
        <v>Oct</v>
      </c>
      <c r="P178" s="7" t="str">
        <f t="shared" si="12"/>
        <v>Sun</v>
      </c>
      <c r="Q178" t="str">
        <f t="shared" si="13"/>
        <v>Discounted</v>
      </c>
      <c r="R178" t="str">
        <f t="shared" si="14"/>
        <v>Check Return Policy</v>
      </c>
    </row>
    <row r="179" spans="1:18" x14ac:dyDescent="0.25">
      <c r="A179" s="4">
        <v>1178</v>
      </c>
      <c r="B179" s="5" t="s">
        <v>190</v>
      </c>
      <c r="C179" s="5" t="s">
        <v>514</v>
      </c>
      <c r="D179" s="5" t="s">
        <v>524</v>
      </c>
      <c r="E179" s="5" t="s">
        <v>569</v>
      </c>
      <c r="F179" s="5" t="s">
        <v>576</v>
      </c>
      <c r="G179" s="4">
        <v>14</v>
      </c>
      <c r="H179" s="4">
        <v>589</v>
      </c>
      <c r="I179" s="4">
        <v>10</v>
      </c>
      <c r="J179" s="6">
        <v>46011</v>
      </c>
      <c r="K179" t="s">
        <v>579</v>
      </c>
      <c r="L179" s="5" t="s">
        <v>583</v>
      </c>
      <c r="M179" s="5" t="s">
        <v>586</v>
      </c>
      <c r="N179" s="7" t="str">
        <f t="shared" si="10"/>
        <v>2025</v>
      </c>
      <c r="O179" s="7" t="str">
        <f t="shared" si="11"/>
        <v>Dec</v>
      </c>
      <c r="P179" s="7" t="str">
        <f t="shared" si="12"/>
        <v>Sat</v>
      </c>
      <c r="Q179" t="str">
        <f t="shared" si="13"/>
        <v>Discounted</v>
      </c>
      <c r="R179" t="str">
        <f t="shared" si="14"/>
        <v>Check Return Policy</v>
      </c>
    </row>
    <row r="180" spans="1:18" x14ac:dyDescent="0.25">
      <c r="A180" s="4">
        <v>1179</v>
      </c>
      <c r="B180" s="5" t="s">
        <v>191</v>
      </c>
      <c r="C180" s="5" t="s">
        <v>514</v>
      </c>
      <c r="D180" s="5" t="s">
        <v>538</v>
      </c>
      <c r="E180" s="5" t="s">
        <v>573</v>
      </c>
      <c r="F180" s="5" t="s">
        <v>576</v>
      </c>
      <c r="G180" s="4">
        <v>13</v>
      </c>
      <c r="H180" s="4">
        <v>219</v>
      </c>
      <c r="I180" s="4">
        <v>10</v>
      </c>
      <c r="J180" s="6">
        <v>45847</v>
      </c>
      <c r="K180" t="s">
        <v>578</v>
      </c>
      <c r="L180" s="5" t="s">
        <v>582</v>
      </c>
      <c r="M180" s="5" t="s">
        <v>585</v>
      </c>
      <c r="N180" s="7" t="str">
        <f t="shared" si="10"/>
        <v>2025</v>
      </c>
      <c r="O180" s="7" t="str">
        <f t="shared" si="11"/>
        <v>Jul</v>
      </c>
      <c r="P180" s="7" t="str">
        <f t="shared" si="12"/>
        <v>Wed</v>
      </c>
      <c r="Q180" t="str">
        <f t="shared" si="13"/>
        <v>Discounted</v>
      </c>
      <c r="R180" t="str">
        <f t="shared" si="14"/>
        <v>No Action</v>
      </c>
    </row>
    <row r="181" spans="1:18" x14ac:dyDescent="0.25">
      <c r="A181" s="4">
        <v>1180</v>
      </c>
      <c r="B181" s="5" t="s">
        <v>192</v>
      </c>
      <c r="C181" s="5" t="s">
        <v>512</v>
      </c>
      <c r="D181" s="5" t="s">
        <v>557</v>
      </c>
      <c r="E181" s="5" t="s">
        <v>569</v>
      </c>
      <c r="F181" s="5" t="s">
        <v>576</v>
      </c>
      <c r="G181" s="4">
        <v>4</v>
      </c>
      <c r="H181" s="4">
        <v>573</v>
      </c>
      <c r="I181" s="4">
        <v>10</v>
      </c>
      <c r="J181" s="6">
        <v>45735</v>
      </c>
      <c r="K181" t="s">
        <v>578</v>
      </c>
      <c r="L181" s="5" t="s">
        <v>584</v>
      </c>
      <c r="M181" s="5" t="s">
        <v>586</v>
      </c>
      <c r="N181" s="7" t="str">
        <f t="shared" si="10"/>
        <v>2025</v>
      </c>
      <c r="O181" s="7" t="str">
        <f t="shared" si="11"/>
        <v>Mar</v>
      </c>
      <c r="P181" s="7" t="str">
        <f t="shared" si="12"/>
        <v>Wed</v>
      </c>
      <c r="Q181" t="str">
        <f t="shared" si="13"/>
        <v>Discounted</v>
      </c>
      <c r="R181" t="str">
        <f t="shared" si="14"/>
        <v>Check Return Policy</v>
      </c>
    </row>
    <row r="182" spans="1:18" x14ac:dyDescent="0.25">
      <c r="A182" s="4">
        <v>1181</v>
      </c>
      <c r="B182" s="5" t="s">
        <v>193</v>
      </c>
      <c r="C182" s="5" t="s">
        <v>513</v>
      </c>
      <c r="D182" s="5" t="s">
        <v>523</v>
      </c>
      <c r="E182" s="5" t="s">
        <v>566</v>
      </c>
      <c r="F182" s="5" t="s">
        <v>576</v>
      </c>
      <c r="G182" s="4">
        <v>16</v>
      </c>
      <c r="H182" s="4">
        <v>161</v>
      </c>
      <c r="I182" s="4">
        <v>15</v>
      </c>
      <c r="J182" s="6">
        <v>45715</v>
      </c>
      <c r="K182" t="s">
        <v>578</v>
      </c>
      <c r="L182" s="5" t="s">
        <v>583</v>
      </c>
      <c r="M182" s="5" t="s">
        <v>585</v>
      </c>
      <c r="N182" s="7" t="str">
        <f t="shared" si="10"/>
        <v>2025</v>
      </c>
      <c r="O182" s="7" t="str">
        <f t="shared" si="11"/>
        <v>Feb</v>
      </c>
      <c r="P182" s="7" t="str">
        <f t="shared" si="12"/>
        <v>Thu</v>
      </c>
      <c r="Q182" t="str">
        <f t="shared" si="13"/>
        <v>Discounted</v>
      </c>
      <c r="R182" t="str">
        <f t="shared" si="14"/>
        <v>No Action</v>
      </c>
    </row>
    <row r="183" spans="1:18" x14ac:dyDescent="0.25">
      <c r="A183" s="4">
        <v>1182</v>
      </c>
      <c r="B183" s="5" t="s">
        <v>194</v>
      </c>
      <c r="C183" s="5" t="s">
        <v>513</v>
      </c>
      <c r="D183" s="5" t="s">
        <v>527</v>
      </c>
      <c r="E183" s="5" t="s">
        <v>570</v>
      </c>
      <c r="F183" s="5" t="s">
        <v>575</v>
      </c>
      <c r="G183" s="4">
        <v>9</v>
      </c>
      <c r="H183" s="4">
        <v>7</v>
      </c>
      <c r="I183" s="4">
        <v>0</v>
      </c>
      <c r="J183" s="6">
        <v>46003</v>
      </c>
      <c r="K183" t="s">
        <v>579</v>
      </c>
      <c r="L183" s="5" t="s">
        <v>582</v>
      </c>
      <c r="M183" s="5" t="s">
        <v>586</v>
      </c>
      <c r="N183" s="7" t="str">
        <f t="shared" si="10"/>
        <v>2025</v>
      </c>
      <c r="O183" s="7" t="str">
        <f t="shared" si="11"/>
        <v>Dec</v>
      </c>
      <c r="P183" s="7" t="str">
        <f t="shared" si="12"/>
        <v>Fri</v>
      </c>
      <c r="Q183" t="str">
        <f t="shared" si="13"/>
        <v>Full Price</v>
      </c>
      <c r="R183" t="str">
        <f t="shared" si="14"/>
        <v>Check Return Policy</v>
      </c>
    </row>
    <row r="184" spans="1:18" x14ac:dyDescent="0.25">
      <c r="A184" s="4">
        <v>1183</v>
      </c>
      <c r="B184" s="5" t="s">
        <v>195</v>
      </c>
      <c r="C184" s="5" t="s">
        <v>513</v>
      </c>
      <c r="D184" s="5" t="s">
        <v>538</v>
      </c>
      <c r="E184" s="5" t="s">
        <v>567</v>
      </c>
      <c r="F184" s="5" t="s">
        <v>576</v>
      </c>
      <c r="G184" s="4">
        <v>16</v>
      </c>
      <c r="H184" s="4">
        <v>1034</v>
      </c>
      <c r="I184" s="4">
        <v>0</v>
      </c>
      <c r="J184" s="6">
        <v>45677</v>
      </c>
      <c r="K184" t="s">
        <v>579</v>
      </c>
      <c r="L184" s="5" t="s">
        <v>584</v>
      </c>
      <c r="M184" s="5" t="s">
        <v>586</v>
      </c>
      <c r="N184" s="7" t="str">
        <f t="shared" si="10"/>
        <v>2025</v>
      </c>
      <c r="O184" s="7" t="str">
        <f t="shared" si="11"/>
        <v>Jan</v>
      </c>
      <c r="P184" s="7" t="str">
        <f t="shared" si="12"/>
        <v>Mon</v>
      </c>
      <c r="Q184" t="str">
        <f t="shared" si="13"/>
        <v>Full Price</v>
      </c>
      <c r="R184" t="str">
        <f t="shared" si="14"/>
        <v>Check Return Policy</v>
      </c>
    </row>
    <row r="185" spans="1:18" x14ac:dyDescent="0.25">
      <c r="A185" s="4">
        <v>1184</v>
      </c>
      <c r="B185" s="5" t="s">
        <v>196</v>
      </c>
      <c r="C185" s="5" t="s">
        <v>512</v>
      </c>
      <c r="D185" s="5" t="s">
        <v>537</v>
      </c>
      <c r="E185" s="5" t="s">
        <v>574</v>
      </c>
      <c r="F185" s="5" t="s">
        <v>576</v>
      </c>
      <c r="G185" s="4">
        <v>5</v>
      </c>
      <c r="H185" s="4">
        <v>22</v>
      </c>
      <c r="I185" s="4">
        <v>10</v>
      </c>
      <c r="J185" s="6">
        <v>45922</v>
      </c>
      <c r="K185" t="s">
        <v>581</v>
      </c>
      <c r="L185" s="5" t="s">
        <v>582</v>
      </c>
      <c r="M185" s="5" t="s">
        <v>586</v>
      </c>
      <c r="N185" s="7" t="str">
        <f t="shared" si="10"/>
        <v>2025</v>
      </c>
      <c r="O185" s="7" t="str">
        <f t="shared" si="11"/>
        <v>Sep</v>
      </c>
      <c r="P185" s="7" t="str">
        <f t="shared" si="12"/>
        <v>Mon</v>
      </c>
      <c r="Q185" t="str">
        <f t="shared" si="13"/>
        <v>Discounted</v>
      </c>
      <c r="R185" t="str">
        <f t="shared" si="14"/>
        <v>Check Return Policy</v>
      </c>
    </row>
    <row r="186" spans="1:18" x14ac:dyDescent="0.25">
      <c r="A186" s="4">
        <v>1185</v>
      </c>
      <c r="B186" s="5" t="s">
        <v>197</v>
      </c>
      <c r="C186" s="5" t="s">
        <v>512</v>
      </c>
      <c r="D186" s="5" t="s">
        <v>551</v>
      </c>
      <c r="E186" s="5" t="s">
        <v>569</v>
      </c>
      <c r="F186" s="5" t="s">
        <v>576</v>
      </c>
      <c r="G186" s="4">
        <v>11</v>
      </c>
      <c r="H186" s="4">
        <v>861</v>
      </c>
      <c r="I186" s="4">
        <v>0</v>
      </c>
      <c r="J186" s="6">
        <v>45840</v>
      </c>
      <c r="K186" t="s">
        <v>581</v>
      </c>
      <c r="L186" s="5" t="s">
        <v>582</v>
      </c>
      <c r="M186" s="5" t="s">
        <v>585</v>
      </c>
      <c r="N186" s="7" t="str">
        <f t="shared" si="10"/>
        <v>2025</v>
      </c>
      <c r="O186" s="7" t="str">
        <f t="shared" si="11"/>
        <v>Jul</v>
      </c>
      <c r="P186" s="7" t="str">
        <f t="shared" si="12"/>
        <v>Wed</v>
      </c>
      <c r="Q186" t="str">
        <f t="shared" si="13"/>
        <v>Full Price</v>
      </c>
      <c r="R186" t="str">
        <f t="shared" si="14"/>
        <v>No Action</v>
      </c>
    </row>
    <row r="187" spans="1:18" x14ac:dyDescent="0.25">
      <c r="A187" s="4">
        <v>1186</v>
      </c>
      <c r="B187" s="5" t="s">
        <v>198</v>
      </c>
      <c r="C187" s="5" t="s">
        <v>514</v>
      </c>
      <c r="D187" s="5" t="s">
        <v>521</v>
      </c>
      <c r="E187" s="5" t="s">
        <v>566</v>
      </c>
      <c r="F187" s="5" t="s">
        <v>576</v>
      </c>
      <c r="G187" s="4">
        <v>2</v>
      </c>
      <c r="H187" s="4">
        <v>194</v>
      </c>
      <c r="I187" s="4">
        <v>5</v>
      </c>
      <c r="J187" s="6">
        <v>45959</v>
      </c>
      <c r="K187" t="s">
        <v>580</v>
      </c>
      <c r="L187" s="5" t="s">
        <v>583</v>
      </c>
      <c r="M187" s="5" t="s">
        <v>586</v>
      </c>
      <c r="N187" s="7" t="str">
        <f t="shared" si="10"/>
        <v>2025</v>
      </c>
      <c r="O187" s="7" t="str">
        <f t="shared" si="11"/>
        <v>Oct</v>
      </c>
      <c r="P187" s="7" t="str">
        <f t="shared" si="12"/>
        <v>Wed</v>
      </c>
      <c r="Q187" t="str">
        <f t="shared" si="13"/>
        <v>Discounted</v>
      </c>
      <c r="R187" t="str">
        <f t="shared" si="14"/>
        <v>Check Return Policy</v>
      </c>
    </row>
    <row r="188" spans="1:18" x14ac:dyDescent="0.25">
      <c r="A188" s="4">
        <v>1187</v>
      </c>
      <c r="B188" s="5" t="s">
        <v>199</v>
      </c>
      <c r="C188" s="5" t="s">
        <v>511</v>
      </c>
      <c r="D188" s="5" t="s">
        <v>555</v>
      </c>
      <c r="E188" s="5" t="s">
        <v>567</v>
      </c>
      <c r="F188" s="5" t="s">
        <v>576</v>
      </c>
      <c r="G188" s="4">
        <v>10</v>
      </c>
      <c r="H188" s="4">
        <v>979</v>
      </c>
      <c r="I188" s="4">
        <v>15</v>
      </c>
      <c r="J188" s="6">
        <v>45888</v>
      </c>
      <c r="K188" t="s">
        <v>579</v>
      </c>
      <c r="L188" s="5" t="s">
        <v>583</v>
      </c>
      <c r="M188" s="5" t="s">
        <v>586</v>
      </c>
      <c r="N188" s="7" t="str">
        <f t="shared" si="10"/>
        <v>2025</v>
      </c>
      <c r="O188" s="7" t="str">
        <f t="shared" si="11"/>
        <v>Aug</v>
      </c>
      <c r="P188" s="7" t="str">
        <f t="shared" si="12"/>
        <v>Tue</v>
      </c>
      <c r="Q188" t="str">
        <f t="shared" si="13"/>
        <v>Discounted</v>
      </c>
      <c r="R188" t="str">
        <f t="shared" si="14"/>
        <v>Check Return Policy</v>
      </c>
    </row>
    <row r="189" spans="1:18" x14ac:dyDescent="0.25">
      <c r="A189" s="4">
        <v>1188</v>
      </c>
      <c r="B189" s="5" t="s">
        <v>200</v>
      </c>
      <c r="C189" s="5" t="s">
        <v>511</v>
      </c>
      <c r="D189" s="5" t="s">
        <v>529</v>
      </c>
      <c r="E189" s="5" t="s">
        <v>568</v>
      </c>
      <c r="F189" s="5" t="s">
        <v>577</v>
      </c>
      <c r="G189" s="4">
        <v>18</v>
      </c>
      <c r="H189" s="4">
        <v>475</v>
      </c>
      <c r="I189" s="4">
        <v>5</v>
      </c>
      <c r="J189" s="6">
        <v>45866</v>
      </c>
      <c r="K189" t="s">
        <v>581</v>
      </c>
      <c r="L189" s="5" t="s">
        <v>583</v>
      </c>
      <c r="M189" s="5" t="s">
        <v>586</v>
      </c>
      <c r="N189" s="7" t="str">
        <f t="shared" si="10"/>
        <v>2025</v>
      </c>
      <c r="O189" s="7" t="str">
        <f t="shared" si="11"/>
        <v>Jul</v>
      </c>
      <c r="P189" s="7" t="str">
        <f t="shared" si="12"/>
        <v>Mon</v>
      </c>
      <c r="Q189" t="str">
        <f t="shared" si="13"/>
        <v>Discounted</v>
      </c>
      <c r="R189" t="str">
        <f t="shared" si="14"/>
        <v>Check Return Policy</v>
      </c>
    </row>
    <row r="190" spans="1:18" x14ac:dyDescent="0.25">
      <c r="A190" s="4">
        <v>1189</v>
      </c>
      <c r="B190" s="5" t="s">
        <v>201</v>
      </c>
      <c r="C190" s="5" t="s">
        <v>513</v>
      </c>
      <c r="D190" s="5" t="s">
        <v>525</v>
      </c>
      <c r="E190" s="5" t="s">
        <v>571</v>
      </c>
      <c r="F190" s="5" t="s">
        <v>577</v>
      </c>
      <c r="G190" s="4">
        <v>13</v>
      </c>
      <c r="H190" s="4">
        <v>135</v>
      </c>
      <c r="I190" s="4">
        <v>5</v>
      </c>
      <c r="J190" s="6">
        <v>45922</v>
      </c>
      <c r="K190" t="s">
        <v>581</v>
      </c>
      <c r="L190" s="5" t="s">
        <v>582</v>
      </c>
      <c r="M190" s="5" t="s">
        <v>586</v>
      </c>
      <c r="N190" s="7" t="str">
        <f t="shared" si="10"/>
        <v>2025</v>
      </c>
      <c r="O190" s="7" t="str">
        <f t="shared" si="11"/>
        <v>Sep</v>
      </c>
      <c r="P190" s="7" t="str">
        <f t="shared" si="12"/>
        <v>Mon</v>
      </c>
      <c r="Q190" t="str">
        <f t="shared" si="13"/>
        <v>Discounted</v>
      </c>
      <c r="R190" t="str">
        <f t="shared" si="14"/>
        <v>Check Return Policy</v>
      </c>
    </row>
    <row r="191" spans="1:18" x14ac:dyDescent="0.25">
      <c r="A191" s="4">
        <v>1190</v>
      </c>
      <c r="B191" s="5" t="s">
        <v>202</v>
      </c>
      <c r="C191" s="5" t="s">
        <v>511</v>
      </c>
      <c r="D191" s="5" t="s">
        <v>563</v>
      </c>
      <c r="E191" s="5" t="s">
        <v>571</v>
      </c>
      <c r="F191" s="5" t="s">
        <v>577</v>
      </c>
      <c r="G191" s="4">
        <v>6</v>
      </c>
      <c r="H191" s="4">
        <v>193</v>
      </c>
      <c r="I191" s="4">
        <v>15</v>
      </c>
      <c r="J191" s="6">
        <v>45740</v>
      </c>
      <c r="K191" t="s">
        <v>579</v>
      </c>
      <c r="L191" s="5" t="s">
        <v>584</v>
      </c>
      <c r="M191" s="5" t="s">
        <v>585</v>
      </c>
      <c r="N191" s="7" t="str">
        <f t="shared" si="10"/>
        <v>2025</v>
      </c>
      <c r="O191" s="7" t="str">
        <f t="shared" si="11"/>
        <v>Mar</v>
      </c>
      <c r="P191" s="7" t="str">
        <f t="shared" si="12"/>
        <v>Mon</v>
      </c>
      <c r="Q191" t="str">
        <f t="shared" si="13"/>
        <v>Discounted</v>
      </c>
      <c r="R191" t="str">
        <f t="shared" si="14"/>
        <v>No Action</v>
      </c>
    </row>
    <row r="192" spans="1:18" x14ac:dyDescent="0.25">
      <c r="A192" s="4">
        <v>1191</v>
      </c>
      <c r="B192" s="5" t="s">
        <v>203</v>
      </c>
      <c r="C192" s="5" t="s">
        <v>513</v>
      </c>
      <c r="D192" s="5" t="s">
        <v>541</v>
      </c>
      <c r="E192" s="5" t="s">
        <v>574</v>
      </c>
      <c r="F192" s="5" t="s">
        <v>576</v>
      </c>
      <c r="G192" s="4">
        <v>7</v>
      </c>
      <c r="H192" s="4">
        <v>80</v>
      </c>
      <c r="I192" s="4">
        <v>5</v>
      </c>
      <c r="J192" s="6">
        <v>45885</v>
      </c>
      <c r="K192" t="s">
        <v>578</v>
      </c>
      <c r="L192" s="5" t="s">
        <v>582</v>
      </c>
      <c r="M192" s="5" t="s">
        <v>585</v>
      </c>
      <c r="N192" s="7" t="str">
        <f t="shared" si="10"/>
        <v>2025</v>
      </c>
      <c r="O192" s="7" t="str">
        <f t="shared" si="11"/>
        <v>Aug</v>
      </c>
      <c r="P192" s="7" t="str">
        <f t="shared" si="12"/>
        <v>Sat</v>
      </c>
      <c r="Q192" t="str">
        <f t="shared" si="13"/>
        <v>Discounted</v>
      </c>
      <c r="R192" t="str">
        <f t="shared" si="14"/>
        <v>No Action</v>
      </c>
    </row>
    <row r="193" spans="1:18" x14ac:dyDescent="0.25">
      <c r="A193" s="4">
        <v>1192</v>
      </c>
      <c r="B193" s="5" t="s">
        <v>204</v>
      </c>
      <c r="C193" s="5" t="s">
        <v>512</v>
      </c>
      <c r="D193" s="5" t="s">
        <v>556</v>
      </c>
      <c r="E193" s="5" t="s">
        <v>574</v>
      </c>
      <c r="F193" s="5" t="s">
        <v>576</v>
      </c>
      <c r="G193" s="4">
        <v>20</v>
      </c>
      <c r="H193" s="4">
        <v>102</v>
      </c>
      <c r="I193" s="4">
        <v>10</v>
      </c>
      <c r="J193" s="6">
        <v>45935</v>
      </c>
      <c r="K193" t="s">
        <v>580</v>
      </c>
      <c r="L193" s="5" t="s">
        <v>584</v>
      </c>
      <c r="M193" s="5" t="s">
        <v>586</v>
      </c>
      <c r="N193" s="7" t="str">
        <f t="shared" si="10"/>
        <v>2025</v>
      </c>
      <c r="O193" s="7" t="str">
        <f t="shared" si="11"/>
        <v>Oct</v>
      </c>
      <c r="P193" s="7" t="str">
        <f t="shared" si="12"/>
        <v>Sun</v>
      </c>
      <c r="Q193" t="str">
        <f t="shared" si="13"/>
        <v>Discounted</v>
      </c>
      <c r="R193" t="str">
        <f t="shared" si="14"/>
        <v>Check Return Policy</v>
      </c>
    </row>
    <row r="194" spans="1:18" x14ac:dyDescent="0.25">
      <c r="A194" s="4">
        <v>1193</v>
      </c>
      <c r="B194" s="5" t="s">
        <v>205</v>
      </c>
      <c r="C194" s="5" t="s">
        <v>511</v>
      </c>
      <c r="D194" s="5" t="s">
        <v>540</v>
      </c>
      <c r="E194" s="5" t="s">
        <v>570</v>
      </c>
      <c r="F194" s="5" t="s">
        <v>575</v>
      </c>
      <c r="G194" s="4">
        <v>6</v>
      </c>
      <c r="H194" s="4">
        <v>10</v>
      </c>
      <c r="I194" s="4">
        <v>5</v>
      </c>
      <c r="J194" s="6">
        <v>45684</v>
      </c>
      <c r="K194" t="s">
        <v>579</v>
      </c>
      <c r="L194" s="5" t="s">
        <v>583</v>
      </c>
      <c r="M194" s="5" t="s">
        <v>586</v>
      </c>
      <c r="N194" s="7" t="str">
        <f t="shared" si="10"/>
        <v>2025</v>
      </c>
      <c r="O194" s="7" t="str">
        <f t="shared" si="11"/>
        <v>Jan</v>
      </c>
      <c r="P194" s="7" t="str">
        <f t="shared" si="12"/>
        <v>Mon</v>
      </c>
      <c r="Q194" t="str">
        <f t="shared" si="13"/>
        <v>Discounted</v>
      </c>
      <c r="R194" t="str">
        <f t="shared" si="14"/>
        <v>Check Return Policy</v>
      </c>
    </row>
    <row r="195" spans="1:18" x14ac:dyDescent="0.25">
      <c r="A195" s="4">
        <v>1194</v>
      </c>
      <c r="B195" s="5" t="s">
        <v>206</v>
      </c>
      <c r="C195" s="5" t="s">
        <v>512</v>
      </c>
      <c r="D195" s="5" t="s">
        <v>564</v>
      </c>
      <c r="E195" s="5" t="s">
        <v>565</v>
      </c>
      <c r="F195" s="5" t="s">
        <v>575</v>
      </c>
      <c r="G195" s="4">
        <v>7</v>
      </c>
      <c r="H195" s="4">
        <v>3</v>
      </c>
      <c r="I195" s="4">
        <v>10</v>
      </c>
      <c r="J195" s="6">
        <v>45945</v>
      </c>
      <c r="K195" t="s">
        <v>580</v>
      </c>
      <c r="L195" s="5" t="s">
        <v>582</v>
      </c>
      <c r="M195" s="5" t="s">
        <v>585</v>
      </c>
      <c r="N195" s="7" t="str">
        <f t="shared" ref="N195:N258" si="15">TEXT(J195,"YYYY")</f>
        <v>2025</v>
      </c>
      <c r="O195" s="7" t="str">
        <f t="shared" ref="O195:O258" si="16">TEXT(J195,"mmm")</f>
        <v>Oct</v>
      </c>
      <c r="P195" s="7" t="str">
        <f t="shared" ref="P195:P258" si="17">TEXT(J195,"ddd")</f>
        <v>Wed</v>
      </c>
      <c r="Q195" t="str">
        <f t="shared" ref="Q195:Q258" si="18">IF(I195&gt;0,"Discounted","Full Price")</f>
        <v>Discounted</v>
      </c>
      <c r="R195" t="str">
        <f t="shared" ref="R195:R258" si="19">IF(M195="Yes","Check Return Policy","No Action")</f>
        <v>No Action</v>
      </c>
    </row>
    <row r="196" spans="1:18" x14ac:dyDescent="0.25">
      <c r="A196" s="4">
        <v>1195</v>
      </c>
      <c r="B196" s="5" t="s">
        <v>207</v>
      </c>
      <c r="C196" s="5" t="s">
        <v>514</v>
      </c>
      <c r="D196" s="5" t="s">
        <v>558</v>
      </c>
      <c r="E196" s="5" t="s">
        <v>565</v>
      </c>
      <c r="F196" s="5" t="s">
        <v>575</v>
      </c>
      <c r="G196" s="4">
        <v>2</v>
      </c>
      <c r="H196" s="4">
        <v>2</v>
      </c>
      <c r="I196" s="4">
        <v>5</v>
      </c>
      <c r="J196" s="6">
        <v>45957</v>
      </c>
      <c r="K196" t="s">
        <v>578</v>
      </c>
      <c r="L196" s="5" t="s">
        <v>583</v>
      </c>
      <c r="M196" s="5" t="s">
        <v>586</v>
      </c>
      <c r="N196" s="7" t="str">
        <f t="shared" si="15"/>
        <v>2025</v>
      </c>
      <c r="O196" s="7" t="str">
        <f t="shared" si="16"/>
        <v>Oct</v>
      </c>
      <c r="P196" s="7" t="str">
        <f t="shared" si="17"/>
        <v>Mon</v>
      </c>
      <c r="Q196" t="str">
        <f t="shared" si="18"/>
        <v>Discounted</v>
      </c>
      <c r="R196" t="str">
        <f t="shared" si="19"/>
        <v>Check Return Policy</v>
      </c>
    </row>
    <row r="197" spans="1:18" x14ac:dyDescent="0.25">
      <c r="A197" s="4">
        <v>1196</v>
      </c>
      <c r="B197" s="5" t="s">
        <v>208</v>
      </c>
      <c r="C197" s="5" t="s">
        <v>514</v>
      </c>
      <c r="D197" s="5" t="s">
        <v>520</v>
      </c>
      <c r="E197" s="5" t="s">
        <v>570</v>
      </c>
      <c r="F197" s="5" t="s">
        <v>575</v>
      </c>
      <c r="G197" s="4">
        <v>18</v>
      </c>
      <c r="H197" s="4">
        <v>2</v>
      </c>
      <c r="I197" s="4">
        <v>0</v>
      </c>
      <c r="J197" s="6">
        <v>45680</v>
      </c>
      <c r="K197" t="s">
        <v>580</v>
      </c>
      <c r="L197" s="5" t="s">
        <v>584</v>
      </c>
      <c r="M197" s="5" t="s">
        <v>585</v>
      </c>
      <c r="N197" s="7" t="str">
        <f t="shared" si="15"/>
        <v>2025</v>
      </c>
      <c r="O197" s="7" t="str">
        <f t="shared" si="16"/>
        <v>Jan</v>
      </c>
      <c r="P197" s="7" t="str">
        <f t="shared" si="17"/>
        <v>Thu</v>
      </c>
      <c r="Q197" t="str">
        <f t="shared" si="18"/>
        <v>Full Price</v>
      </c>
      <c r="R197" t="str">
        <f t="shared" si="19"/>
        <v>No Action</v>
      </c>
    </row>
    <row r="198" spans="1:18" x14ac:dyDescent="0.25">
      <c r="A198" s="4">
        <v>1197</v>
      </c>
      <c r="B198" s="5" t="s">
        <v>209</v>
      </c>
      <c r="C198" s="5" t="s">
        <v>512</v>
      </c>
      <c r="D198" s="5" t="s">
        <v>541</v>
      </c>
      <c r="E198" s="5" t="s">
        <v>569</v>
      </c>
      <c r="F198" s="5" t="s">
        <v>576</v>
      </c>
      <c r="G198" s="4">
        <v>2</v>
      </c>
      <c r="H198" s="4">
        <v>666</v>
      </c>
      <c r="I198" s="4">
        <v>15</v>
      </c>
      <c r="J198" s="6">
        <v>45704</v>
      </c>
      <c r="K198" t="s">
        <v>578</v>
      </c>
      <c r="L198" s="5" t="s">
        <v>582</v>
      </c>
      <c r="M198" s="5" t="s">
        <v>585</v>
      </c>
      <c r="N198" s="7" t="str">
        <f t="shared" si="15"/>
        <v>2025</v>
      </c>
      <c r="O198" s="7" t="str">
        <f t="shared" si="16"/>
        <v>Feb</v>
      </c>
      <c r="P198" s="7" t="str">
        <f t="shared" si="17"/>
        <v>Sun</v>
      </c>
      <c r="Q198" t="str">
        <f t="shared" si="18"/>
        <v>Discounted</v>
      </c>
      <c r="R198" t="str">
        <f t="shared" si="19"/>
        <v>No Action</v>
      </c>
    </row>
    <row r="199" spans="1:18" x14ac:dyDescent="0.25">
      <c r="A199" s="4">
        <v>1198</v>
      </c>
      <c r="B199" s="5" t="s">
        <v>210</v>
      </c>
      <c r="C199" s="5" t="s">
        <v>514</v>
      </c>
      <c r="D199" s="5" t="s">
        <v>559</v>
      </c>
      <c r="E199" s="5" t="s">
        <v>568</v>
      </c>
      <c r="F199" s="5" t="s">
        <v>577</v>
      </c>
      <c r="G199" s="4">
        <v>18</v>
      </c>
      <c r="H199" s="4">
        <v>341</v>
      </c>
      <c r="I199" s="4">
        <v>15</v>
      </c>
      <c r="J199" s="6">
        <v>45756</v>
      </c>
      <c r="K199" t="s">
        <v>579</v>
      </c>
      <c r="L199" s="5" t="s">
        <v>582</v>
      </c>
      <c r="M199" s="5" t="s">
        <v>585</v>
      </c>
      <c r="N199" s="7" t="str">
        <f t="shared" si="15"/>
        <v>2025</v>
      </c>
      <c r="O199" s="7" t="str">
        <f t="shared" si="16"/>
        <v>Apr</v>
      </c>
      <c r="P199" s="7" t="str">
        <f t="shared" si="17"/>
        <v>Wed</v>
      </c>
      <c r="Q199" t="str">
        <f t="shared" si="18"/>
        <v>Discounted</v>
      </c>
      <c r="R199" t="str">
        <f t="shared" si="19"/>
        <v>No Action</v>
      </c>
    </row>
    <row r="200" spans="1:18" x14ac:dyDescent="0.25">
      <c r="A200" s="4">
        <v>1199</v>
      </c>
      <c r="B200" s="5" t="s">
        <v>211</v>
      </c>
      <c r="C200" s="5" t="s">
        <v>512</v>
      </c>
      <c r="D200" s="5" t="s">
        <v>551</v>
      </c>
      <c r="E200" s="5" t="s">
        <v>573</v>
      </c>
      <c r="F200" s="5" t="s">
        <v>576</v>
      </c>
      <c r="G200" s="4">
        <v>18</v>
      </c>
      <c r="H200" s="4">
        <v>299</v>
      </c>
      <c r="I200" s="4">
        <v>5</v>
      </c>
      <c r="J200" s="6">
        <v>45923</v>
      </c>
      <c r="K200" t="s">
        <v>581</v>
      </c>
      <c r="L200" s="5" t="s">
        <v>584</v>
      </c>
      <c r="M200" s="5" t="s">
        <v>585</v>
      </c>
      <c r="N200" s="7" t="str">
        <f t="shared" si="15"/>
        <v>2025</v>
      </c>
      <c r="O200" s="7" t="str">
        <f t="shared" si="16"/>
        <v>Sep</v>
      </c>
      <c r="P200" s="7" t="str">
        <f t="shared" si="17"/>
        <v>Tue</v>
      </c>
      <c r="Q200" t="str">
        <f t="shared" si="18"/>
        <v>Discounted</v>
      </c>
      <c r="R200" t="str">
        <f t="shared" si="19"/>
        <v>No Action</v>
      </c>
    </row>
    <row r="201" spans="1:18" x14ac:dyDescent="0.25">
      <c r="A201" s="4">
        <v>1200</v>
      </c>
      <c r="B201" s="5" t="s">
        <v>212</v>
      </c>
      <c r="C201" s="5" t="s">
        <v>514</v>
      </c>
      <c r="D201" s="5" t="s">
        <v>539</v>
      </c>
      <c r="E201" s="5" t="s">
        <v>573</v>
      </c>
      <c r="F201" s="5" t="s">
        <v>576</v>
      </c>
      <c r="G201" s="4">
        <v>6</v>
      </c>
      <c r="H201" s="4">
        <v>308</v>
      </c>
      <c r="I201" s="4">
        <v>0</v>
      </c>
      <c r="J201" s="6">
        <v>45799</v>
      </c>
      <c r="K201" t="s">
        <v>580</v>
      </c>
      <c r="L201" s="5" t="s">
        <v>584</v>
      </c>
      <c r="M201" s="5" t="s">
        <v>585</v>
      </c>
      <c r="N201" s="7" t="str">
        <f t="shared" si="15"/>
        <v>2025</v>
      </c>
      <c r="O201" s="7" t="str">
        <f t="shared" si="16"/>
        <v>May</v>
      </c>
      <c r="P201" s="7" t="str">
        <f t="shared" si="17"/>
        <v>Thu</v>
      </c>
      <c r="Q201" t="str">
        <f t="shared" si="18"/>
        <v>Full Price</v>
      </c>
      <c r="R201" t="str">
        <f t="shared" si="19"/>
        <v>No Action</v>
      </c>
    </row>
    <row r="202" spans="1:18" x14ac:dyDescent="0.25">
      <c r="A202" s="4">
        <v>1201</v>
      </c>
      <c r="B202" s="5" t="s">
        <v>213</v>
      </c>
      <c r="C202" s="5" t="s">
        <v>512</v>
      </c>
      <c r="D202" s="5" t="s">
        <v>549</v>
      </c>
      <c r="E202" s="5" t="s">
        <v>568</v>
      </c>
      <c r="F202" s="5" t="s">
        <v>577</v>
      </c>
      <c r="G202" s="4">
        <v>6</v>
      </c>
      <c r="H202" s="4">
        <v>411</v>
      </c>
      <c r="I202" s="4">
        <v>0</v>
      </c>
      <c r="J202" s="6">
        <v>45980</v>
      </c>
      <c r="K202" t="s">
        <v>581</v>
      </c>
      <c r="L202" s="5" t="s">
        <v>583</v>
      </c>
      <c r="M202" s="5" t="s">
        <v>586</v>
      </c>
      <c r="N202" s="7" t="str">
        <f t="shared" si="15"/>
        <v>2025</v>
      </c>
      <c r="O202" s="7" t="str">
        <f t="shared" si="16"/>
        <v>Nov</v>
      </c>
      <c r="P202" s="7" t="str">
        <f t="shared" si="17"/>
        <v>Wed</v>
      </c>
      <c r="Q202" t="str">
        <f t="shared" si="18"/>
        <v>Full Price</v>
      </c>
      <c r="R202" t="str">
        <f t="shared" si="19"/>
        <v>Check Return Policy</v>
      </c>
    </row>
    <row r="203" spans="1:18" x14ac:dyDescent="0.25">
      <c r="A203" s="4">
        <v>1202</v>
      </c>
      <c r="B203" s="5" t="s">
        <v>214</v>
      </c>
      <c r="C203" s="5" t="s">
        <v>511</v>
      </c>
      <c r="D203" s="5" t="s">
        <v>532</v>
      </c>
      <c r="E203" s="5" t="s">
        <v>574</v>
      </c>
      <c r="F203" s="5" t="s">
        <v>576</v>
      </c>
      <c r="G203" s="4">
        <v>4</v>
      </c>
      <c r="H203" s="4">
        <v>98</v>
      </c>
      <c r="I203" s="4">
        <v>0</v>
      </c>
      <c r="J203" s="6">
        <v>45770</v>
      </c>
      <c r="K203" t="s">
        <v>580</v>
      </c>
      <c r="L203" s="5" t="s">
        <v>583</v>
      </c>
      <c r="M203" s="5" t="s">
        <v>586</v>
      </c>
      <c r="N203" s="7" t="str">
        <f t="shared" si="15"/>
        <v>2025</v>
      </c>
      <c r="O203" s="7" t="str">
        <f t="shared" si="16"/>
        <v>Apr</v>
      </c>
      <c r="P203" s="7" t="str">
        <f t="shared" si="17"/>
        <v>Wed</v>
      </c>
      <c r="Q203" t="str">
        <f t="shared" si="18"/>
        <v>Full Price</v>
      </c>
      <c r="R203" t="str">
        <f t="shared" si="19"/>
        <v>Check Return Policy</v>
      </c>
    </row>
    <row r="204" spans="1:18" x14ac:dyDescent="0.25">
      <c r="A204" s="4">
        <v>1203</v>
      </c>
      <c r="B204" s="5" t="s">
        <v>215</v>
      </c>
      <c r="C204" s="5" t="s">
        <v>513</v>
      </c>
      <c r="D204" s="5" t="s">
        <v>518</v>
      </c>
      <c r="E204" s="5" t="s">
        <v>573</v>
      </c>
      <c r="F204" s="5" t="s">
        <v>576</v>
      </c>
      <c r="G204" s="4">
        <v>1</v>
      </c>
      <c r="H204" s="4">
        <v>154</v>
      </c>
      <c r="I204" s="4">
        <v>5</v>
      </c>
      <c r="J204" s="6">
        <v>45934</v>
      </c>
      <c r="K204" t="s">
        <v>578</v>
      </c>
      <c r="L204" s="5" t="s">
        <v>584</v>
      </c>
      <c r="M204" s="5" t="s">
        <v>586</v>
      </c>
      <c r="N204" s="7" t="str">
        <f t="shared" si="15"/>
        <v>2025</v>
      </c>
      <c r="O204" s="7" t="str">
        <f t="shared" si="16"/>
        <v>Oct</v>
      </c>
      <c r="P204" s="7" t="str">
        <f t="shared" si="17"/>
        <v>Sat</v>
      </c>
      <c r="Q204" t="str">
        <f t="shared" si="18"/>
        <v>Discounted</v>
      </c>
      <c r="R204" t="str">
        <f t="shared" si="19"/>
        <v>Check Return Policy</v>
      </c>
    </row>
    <row r="205" spans="1:18" x14ac:dyDescent="0.25">
      <c r="A205" s="4">
        <v>1204</v>
      </c>
      <c r="B205" s="5" t="s">
        <v>216</v>
      </c>
      <c r="C205" s="5" t="s">
        <v>514</v>
      </c>
      <c r="D205" s="5" t="s">
        <v>552</v>
      </c>
      <c r="E205" s="5" t="s">
        <v>568</v>
      </c>
      <c r="F205" s="5" t="s">
        <v>577</v>
      </c>
      <c r="G205" s="4">
        <v>19</v>
      </c>
      <c r="H205" s="4">
        <v>409</v>
      </c>
      <c r="I205" s="4">
        <v>10</v>
      </c>
      <c r="J205" s="6">
        <v>45815</v>
      </c>
      <c r="K205" t="s">
        <v>579</v>
      </c>
      <c r="L205" s="5" t="s">
        <v>583</v>
      </c>
      <c r="M205" s="5" t="s">
        <v>585</v>
      </c>
      <c r="N205" s="7" t="str">
        <f t="shared" si="15"/>
        <v>2025</v>
      </c>
      <c r="O205" s="7" t="str">
        <f t="shared" si="16"/>
        <v>Jun</v>
      </c>
      <c r="P205" s="7" t="str">
        <f t="shared" si="17"/>
        <v>Sat</v>
      </c>
      <c r="Q205" t="str">
        <f t="shared" si="18"/>
        <v>Discounted</v>
      </c>
      <c r="R205" t="str">
        <f t="shared" si="19"/>
        <v>No Action</v>
      </c>
    </row>
    <row r="206" spans="1:18" x14ac:dyDescent="0.25">
      <c r="A206" s="4">
        <v>1205</v>
      </c>
      <c r="B206" s="5" t="s">
        <v>217</v>
      </c>
      <c r="C206" s="5" t="s">
        <v>511</v>
      </c>
      <c r="D206" s="5" t="s">
        <v>559</v>
      </c>
      <c r="E206" s="5" t="s">
        <v>571</v>
      </c>
      <c r="F206" s="5" t="s">
        <v>577</v>
      </c>
      <c r="G206" s="4">
        <v>13</v>
      </c>
      <c r="H206" s="4">
        <v>249</v>
      </c>
      <c r="I206" s="4">
        <v>0</v>
      </c>
      <c r="J206" s="6">
        <v>45856</v>
      </c>
      <c r="K206" t="s">
        <v>579</v>
      </c>
      <c r="L206" s="5" t="s">
        <v>583</v>
      </c>
      <c r="M206" s="5" t="s">
        <v>585</v>
      </c>
      <c r="N206" s="7" t="str">
        <f t="shared" si="15"/>
        <v>2025</v>
      </c>
      <c r="O206" s="7" t="str">
        <f t="shared" si="16"/>
        <v>Jul</v>
      </c>
      <c r="P206" s="7" t="str">
        <f t="shared" si="17"/>
        <v>Fri</v>
      </c>
      <c r="Q206" t="str">
        <f t="shared" si="18"/>
        <v>Full Price</v>
      </c>
      <c r="R206" t="str">
        <f t="shared" si="19"/>
        <v>No Action</v>
      </c>
    </row>
    <row r="207" spans="1:18" x14ac:dyDescent="0.25">
      <c r="A207" s="4">
        <v>1206</v>
      </c>
      <c r="B207" s="5" t="s">
        <v>218</v>
      </c>
      <c r="C207" s="5" t="s">
        <v>513</v>
      </c>
      <c r="D207" s="5" t="s">
        <v>546</v>
      </c>
      <c r="E207" s="5" t="s">
        <v>565</v>
      </c>
      <c r="F207" s="5" t="s">
        <v>575</v>
      </c>
      <c r="G207" s="4">
        <v>2</v>
      </c>
      <c r="H207" s="4">
        <v>2</v>
      </c>
      <c r="I207" s="4">
        <v>5</v>
      </c>
      <c r="J207" s="6">
        <v>45762</v>
      </c>
      <c r="K207" t="s">
        <v>580</v>
      </c>
      <c r="L207" s="5" t="s">
        <v>582</v>
      </c>
      <c r="M207" s="5" t="s">
        <v>586</v>
      </c>
      <c r="N207" s="7" t="str">
        <f t="shared" si="15"/>
        <v>2025</v>
      </c>
      <c r="O207" s="7" t="str">
        <f t="shared" si="16"/>
        <v>Apr</v>
      </c>
      <c r="P207" s="7" t="str">
        <f t="shared" si="17"/>
        <v>Tue</v>
      </c>
      <c r="Q207" t="str">
        <f t="shared" si="18"/>
        <v>Discounted</v>
      </c>
      <c r="R207" t="str">
        <f t="shared" si="19"/>
        <v>Check Return Policy</v>
      </c>
    </row>
    <row r="208" spans="1:18" x14ac:dyDescent="0.25">
      <c r="A208" s="4">
        <v>1207</v>
      </c>
      <c r="B208" s="5" t="s">
        <v>219</v>
      </c>
      <c r="C208" s="5" t="s">
        <v>514</v>
      </c>
      <c r="D208" s="5" t="s">
        <v>531</v>
      </c>
      <c r="E208" s="5" t="s">
        <v>570</v>
      </c>
      <c r="F208" s="5" t="s">
        <v>575</v>
      </c>
      <c r="G208" s="4">
        <v>5</v>
      </c>
      <c r="H208" s="4">
        <v>11</v>
      </c>
      <c r="I208" s="4">
        <v>0</v>
      </c>
      <c r="J208" s="6">
        <v>45812</v>
      </c>
      <c r="K208" t="s">
        <v>579</v>
      </c>
      <c r="L208" s="5" t="s">
        <v>583</v>
      </c>
      <c r="M208" s="5" t="s">
        <v>585</v>
      </c>
      <c r="N208" s="7" t="str">
        <f t="shared" si="15"/>
        <v>2025</v>
      </c>
      <c r="O208" s="7" t="str">
        <f t="shared" si="16"/>
        <v>Jun</v>
      </c>
      <c r="P208" s="7" t="str">
        <f t="shared" si="17"/>
        <v>Wed</v>
      </c>
      <c r="Q208" t="str">
        <f t="shared" si="18"/>
        <v>Full Price</v>
      </c>
      <c r="R208" t="str">
        <f t="shared" si="19"/>
        <v>No Action</v>
      </c>
    </row>
    <row r="209" spans="1:18" x14ac:dyDescent="0.25">
      <c r="A209" s="4">
        <v>1208</v>
      </c>
      <c r="B209" s="5" t="s">
        <v>220</v>
      </c>
      <c r="C209" s="5" t="s">
        <v>511</v>
      </c>
      <c r="D209" s="5" t="s">
        <v>551</v>
      </c>
      <c r="E209" s="5" t="s">
        <v>565</v>
      </c>
      <c r="F209" s="5" t="s">
        <v>575</v>
      </c>
      <c r="G209" s="4">
        <v>17</v>
      </c>
      <c r="H209" s="4">
        <v>3</v>
      </c>
      <c r="I209" s="4">
        <v>10</v>
      </c>
      <c r="J209" s="6">
        <v>46017</v>
      </c>
      <c r="K209" t="s">
        <v>581</v>
      </c>
      <c r="L209" s="5" t="s">
        <v>582</v>
      </c>
      <c r="M209" s="5" t="s">
        <v>585</v>
      </c>
      <c r="N209" s="7" t="str">
        <f t="shared" si="15"/>
        <v>2025</v>
      </c>
      <c r="O209" s="7" t="str">
        <f t="shared" si="16"/>
        <v>Dec</v>
      </c>
      <c r="P209" s="7" t="str">
        <f t="shared" si="17"/>
        <v>Fri</v>
      </c>
      <c r="Q209" t="str">
        <f t="shared" si="18"/>
        <v>Discounted</v>
      </c>
      <c r="R209" t="str">
        <f t="shared" si="19"/>
        <v>No Action</v>
      </c>
    </row>
    <row r="210" spans="1:18" x14ac:dyDescent="0.25">
      <c r="A210" s="4">
        <v>1209</v>
      </c>
      <c r="B210" s="5" t="s">
        <v>221</v>
      </c>
      <c r="C210" s="5" t="s">
        <v>512</v>
      </c>
      <c r="D210" s="5" t="s">
        <v>553</v>
      </c>
      <c r="E210" s="5" t="s">
        <v>569</v>
      </c>
      <c r="F210" s="5" t="s">
        <v>576</v>
      </c>
      <c r="G210" s="4">
        <v>3</v>
      </c>
      <c r="H210" s="4">
        <v>597</v>
      </c>
      <c r="I210" s="4">
        <v>10</v>
      </c>
      <c r="J210" s="6">
        <v>45928</v>
      </c>
      <c r="K210" t="s">
        <v>578</v>
      </c>
      <c r="L210" s="5" t="s">
        <v>583</v>
      </c>
      <c r="M210" s="5" t="s">
        <v>586</v>
      </c>
      <c r="N210" s="7" t="str">
        <f t="shared" si="15"/>
        <v>2025</v>
      </c>
      <c r="O210" s="7" t="str">
        <f t="shared" si="16"/>
        <v>Sep</v>
      </c>
      <c r="P210" s="7" t="str">
        <f t="shared" si="17"/>
        <v>Sun</v>
      </c>
      <c r="Q210" t="str">
        <f t="shared" si="18"/>
        <v>Discounted</v>
      </c>
      <c r="R210" t="str">
        <f t="shared" si="19"/>
        <v>Check Return Policy</v>
      </c>
    </row>
    <row r="211" spans="1:18" x14ac:dyDescent="0.25">
      <c r="A211" s="4">
        <v>1210</v>
      </c>
      <c r="B211" s="5" t="s">
        <v>222</v>
      </c>
      <c r="C211" s="5" t="s">
        <v>512</v>
      </c>
      <c r="D211" s="5" t="s">
        <v>550</v>
      </c>
      <c r="E211" s="5" t="s">
        <v>574</v>
      </c>
      <c r="F211" s="5" t="s">
        <v>576</v>
      </c>
      <c r="G211" s="4">
        <v>2</v>
      </c>
      <c r="H211" s="4">
        <v>64</v>
      </c>
      <c r="I211" s="4">
        <v>0</v>
      </c>
      <c r="J211" s="6">
        <v>45978</v>
      </c>
      <c r="K211" t="s">
        <v>579</v>
      </c>
      <c r="L211" s="5" t="s">
        <v>583</v>
      </c>
      <c r="M211" s="5" t="s">
        <v>586</v>
      </c>
      <c r="N211" s="7" t="str">
        <f t="shared" si="15"/>
        <v>2025</v>
      </c>
      <c r="O211" s="7" t="str">
        <f t="shared" si="16"/>
        <v>Nov</v>
      </c>
      <c r="P211" s="7" t="str">
        <f t="shared" si="17"/>
        <v>Mon</v>
      </c>
      <c r="Q211" t="str">
        <f t="shared" si="18"/>
        <v>Full Price</v>
      </c>
      <c r="R211" t="str">
        <f t="shared" si="19"/>
        <v>Check Return Policy</v>
      </c>
    </row>
    <row r="212" spans="1:18" x14ac:dyDescent="0.25">
      <c r="A212" s="4">
        <v>1211</v>
      </c>
      <c r="B212" s="5" t="s">
        <v>223</v>
      </c>
      <c r="C212" s="5" t="s">
        <v>513</v>
      </c>
      <c r="D212" s="5" t="s">
        <v>528</v>
      </c>
      <c r="E212" s="5" t="s">
        <v>567</v>
      </c>
      <c r="F212" s="5" t="s">
        <v>576</v>
      </c>
      <c r="G212" s="4">
        <v>3</v>
      </c>
      <c r="H212" s="4">
        <v>1272</v>
      </c>
      <c r="I212" s="4">
        <v>10</v>
      </c>
      <c r="J212" s="6">
        <v>45703</v>
      </c>
      <c r="K212" t="s">
        <v>581</v>
      </c>
      <c r="L212" s="5" t="s">
        <v>584</v>
      </c>
      <c r="M212" s="5" t="s">
        <v>585</v>
      </c>
      <c r="N212" s="7" t="str">
        <f t="shared" si="15"/>
        <v>2025</v>
      </c>
      <c r="O212" s="7" t="str">
        <f t="shared" si="16"/>
        <v>Feb</v>
      </c>
      <c r="P212" s="7" t="str">
        <f t="shared" si="17"/>
        <v>Sat</v>
      </c>
      <c r="Q212" t="str">
        <f t="shared" si="18"/>
        <v>Discounted</v>
      </c>
      <c r="R212" t="str">
        <f t="shared" si="19"/>
        <v>No Action</v>
      </c>
    </row>
    <row r="213" spans="1:18" x14ac:dyDescent="0.25">
      <c r="A213" s="4">
        <v>1212</v>
      </c>
      <c r="B213" s="5" t="s">
        <v>224</v>
      </c>
      <c r="C213" s="5" t="s">
        <v>514</v>
      </c>
      <c r="D213" s="5" t="s">
        <v>526</v>
      </c>
      <c r="E213" s="5" t="s">
        <v>572</v>
      </c>
      <c r="F213" s="5" t="s">
        <v>577</v>
      </c>
      <c r="G213" s="4">
        <v>1</v>
      </c>
      <c r="H213" s="4">
        <v>278</v>
      </c>
      <c r="I213" s="4">
        <v>15</v>
      </c>
      <c r="J213" s="6">
        <v>45843</v>
      </c>
      <c r="K213" t="s">
        <v>579</v>
      </c>
      <c r="L213" s="5" t="s">
        <v>583</v>
      </c>
      <c r="M213" s="5" t="s">
        <v>586</v>
      </c>
      <c r="N213" s="7" t="str">
        <f t="shared" si="15"/>
        <v>2025</v>
      </c>
      <c r="O213" s="7" t="str">
        <f t="shared" si="16"/>
        <v>Jul</v>
      </c>
      <c r="P213" s="7" t="str">
        <f t="shared" si="17"/>
        <v>Sat</v>
      </c>
      <c r="Q213" t="str">
        <f t="shared" si="18"/>
        <v>Discounted</v>
      </c>
      <c r="R213" t="str">
        <f t="shared" si="19"/>
        <v>Check Return Policy</v>
      </c>
    </row>
    <row r="214" spans="1:18" x14ac:dyDescent="0.25">
      <c r="A214" s="4">
        <v>1213</v>
      </c>
      <c r="B214" s="5" t="s">
        <v>225</v>
      </c>
      <c r="C214" s="5" t="s">
        <v>512</v>
      </c>
      <c r="D214" s="5" t="s">
        <v>521</v>
      </c>
      <c r="E214" s="5" t="s">
        <v>574</v>
      </c>
      <c r="F214" s="5" t="s">
        <v>576</v>
      </c>
      <c r="G214" s="4">
        <v>6</v>
      </c>
      <c r="H214" s="4">
        <v>121</v>
      </c>
      <c r="I214" s="4">
        <v>0</v>
      </c>
      <c r="J214" s="6">
        <v>45877</v>
      </c>
      <c r="K214" t="s">
        <v>581</v>
      </c>
      <c r="L214" s="5" t="s">
        <v>583</v>
      </c>
      <c r="M214" s="5" t="s">
        <v>585</v>
      </c>
      <c r="N214" s="7" t="str">
        <f t="shared" si="15"/>
        <v>2025</v>
      </c>
      <c r="O214" s="7" t="str">
        <f t="shared" si="16"/>
        <v>Aug</v>
      </c>
      <c r="P214" s="7" t="str">
        <f t="shared" si="17"/>
        <v>Fri</v>
      </c>
      <c r="Q214" t="str">
        <f t="shared" si="18"/>
        <v>Full Price</v>
      </c>
      <c r="R214" t="str">
        <f t="shared" si="19"/>
        <v>No Action</v>
      </c>
    </row>
    <row r="215" spans="1:18" x14ac:dyDescent="0.25">
      <c r="A215" s="4">
        <v>1214</v>
      </c>
      <c r="B215" s="5" t="s">
        <v>226</v>
      </c>
      <c r="C215" s="5" t="s">
        <v>511</v>
      </c>
      <c r="D215" s="5" t="s">
        <v>538</v>
      </c>
      <c r="E215" s="5" t="s">
        <v>574</v>
      </c>
      <c r="F215" s="5" t="s">
        <v>576</v>
      </c>
      <c r="G215" s="4">
        <v>16</v>
      </c>
      <c r="H215" s="4">
        <v>137</v>
      </c>
      <c r="I215" s="4">
        <v>15</v>
      </c>
      <c r="J215" s="6">
        <v>45815</v>
      </c>
      <c r="K215" t="s">
        <v>581</v>
      </c>
      <c r="L215" s="5" t="s">
        <v>582</v>
      </c>
      <c r="M215" s="5" t="s">
        <v>586</v>
      </c>
      <c r="N215" s="7" t="str">
        <f t="shared" si="15"/>
        <v>2025</v>
      </c>
      <c r="O215" s="7" t="str">
        <f t="shared" si="16"/>
        <v>Jun</v>
      </c>
      <c r="P215" s="7" t="str">
        <f t="shared" si="17"/>
        <v>Sat</v>
      </c>
      <c r="Q215" t="str">
        <f t="shared" si="18"/>
        <v>Discounted</v>
      </c>
      <c r="R215" t="str">
        <f t="shared" si="19"/>
        <v>Check Return Policy</v>
      </c>
    </row>
    <row r="216" spans="1:18" x14ac:dyDescent="0.25">
      <c r="A216" s="4">
        <v>1215</v>
      </c>
      <c r="B216" s="5" t="s">
        <v>227</v>
      </c>
      <c r="C216" s="5" t="s">
        <v>514</v>
      </c>
      <c r="D216" s="5" t="s">
        <v>520</v>
      </c>
      <c r="E216" s="5" t="s">
        <v>573</v>
      </c>
      <c r="F216" s="5" t="s">
        <v>576</v>
      </c>
      <c r="G216" s="4">
        <v>11</v>
      </c>
      <c r="H216" s="4">
        <v>247</v>
      </c>
      <c r="I216" s="4">
        <v>15</v>
      </c>
      <c r="J216" s="6">
        <v>45897</v>
      </c>
      <c r="K216" t="s">
        <v>580</v>
      </c>
      <c r="L216" s="5" t="s">
        <v>584</v>
      </c>
      <c r="M216" s="5" t="s">
        <v>586</v>
      </c>
      <c r="N216" s="7" t="str">
        <f t="shared" si="15"/>
        <v>2025</v>
      </c>
      <c r="O216" s="7" t="str">
        <f t="shared" si="16"/>
        <v>Aug</v>
      </c>
      <c r="P216" s="7" t="str">
        <f t="shared" si="17"/>
        <v>Thu</v>
      </c>
      <c r="Q216" t="str">
        <f t="shared" si="18"/>
        <v>Discounted</v>
      </c>
      <c r="R216" t="str">
        <f t="shared" si="19"/>
        <v>Check Return Policy</v>
      </c>
    </row>
    <row r="217" spans="1:18" x14ac:dyDescent="0.25">
      <c r="A217" s="4">
        <v>1216</v>
      </c>
      <c r="B217" s="5" t="s">
        <v>228</v>
      </c>
      <c r="C217" s="5" t="s">
        <v>511</v>
      </c>
      <c r="D217" s="5" t="s">
        <v>535</v>
      </c>
      <c r="E217" s="5" t="s">
        <v>573</v>
      </c>
      <c r="F217" s="5" t="s">
        <v>576</v>
      </c>
      <c r="G217" s="4">
        <v>3</v>
      </c>
      <c r="H217" s="4">
        <v>220</v>
      </c>
      <c r="I217" s="4">
        <v>5</v>
      </c>
      <c r="J217" s="6">
        <v>45899</v>
      </c>
      <c r="K217" t="s">
        <v>580</v>
      </c>
      <c r="L217" s="5" t="s">
        <v>582</v>
      </c>
      <c r="M217" s="5" t="s">
        <v>586</v>
      </c>
      <c r="N217" s="7" t="str">
        <f t="shared" si="15"/>
        <v>2025</v>
      </c>
      <c r="O217" s="7" t="str">
        <f t="shared" si="16"/>
        <v>Aug</v>
      </c>
      <c r="P217" s="7" t="str">
        <f t="shared" si="17"/>
        <v>Sat</v>
      </c>
      <c r="Q217" t="str">
        <f t="shared" si="18"/>
        <v>Discounted</v>
      </c>
      <c r="R217" t="str">
        <f t="shared" si="19"/>
        <v>Check Return Policy</v>
      </c>
    </row>
    <row r="218" spans="1:18" x14ac:dyDescent="0.25">
      <c r="A218" s="4">
        <v>1217</v>
      </c>
      <c r="B218" s="5" t="s">
        <v>229</v>
      </c>
      <c r="C218" s="5" t="s">
        <v>511</v>
      </c>
      <c r="D218" s="5" t="s">
        <v>562</v>
      </c>
      <c r="E218" s="5" t="s">
        <v>569</v>
      </c>
      <c r="F218" s="5" t="s">
        <v>576</v>
      </c>
      <c r="G218" s="4">
        <v>6</v>
      </c>
      <c r="H218" s="4">
        <v>802</v>
      </c>
      <c r="I218" s="4">
        <v>0</v>
      </c>
      <c r="J218" s="6">
        <v>45821</v>
      </c>
      <c r="K218" t="s">
        <v>579</v>
      </c>
      <c r="L218" s="5" t="s">
        <v>582</v>
      </c>
      <c r="M218" s="5" t="s">
        <v>585</v>
      </c>
      <c r="N218" s="7" t="str">
        <f t="shared" si="15"/>
        <v>2025</v>
      </c>
      <c r="O218" s="7" t="str">
        <f t="shared" si="16"/>
        <v>Jun</v>
      </c>
      <c r="P218" s="7" t="str">
        <f t="shared" si="17"/>
        <v>Fri</v>
      </c>
      <c r="Q218" t="str">
        <f t="shared" si="18"/>
        <v>Full Price</v>
      </c>
      <c r="R218" t="str">
        <f t="shared" si="19"/>
        <v>No Action</v>
      </c>
    </row>
    <row r="219" spans="1:18" x14ac:dyDescent="0.25">
      <c r="A219" s="4">
        <v>1218</v>
      </c>
      <c r="B219" s="5" t="s">
        <v>230</v>
      </c>
      <c r="C219" s="5" t="s">
        <v>513</v>
      </c>
      <c r="D219" s="5" t="s">
        <v>552</v>
      </c>
      <c r="E219" s="5" t="s">
        <v>571</v>
      </c>
      <c r="F219" s="5" t="s">
        <v>577</v>
      </c>
      <c r="G219" s="4">
        <v>20</v>
      </c>
      <c r="H219" s="4">
        <v>162</v>
      </c>
      <c r="I219" s="4">
        <v>0</v>
      </c>
      <c r="J219" s="6">
        <v>45742</v>
      </c>
      <c r="K219" t="s">
        <v>578</v>
      </c>
      <c r="L219" s="5" t="s">
        <v>584</v>
      </c>
      <c r="M219" s="5" t="s">
        <v>586</v>
      </c>
      <c r="N219" s="7" t="str">
        <f t="shared" si="15"/>
        <v>2025</v>
      </c>
      <c r="O219" s="7" t="str">
        <f t="shared" si="16"/>
        <v>Mar</v>
      </c>
      <c r="P219" s="7" t="str">
        <f t="shared" si="17"/>
        <v>Wed</v>
      </c>
      <c r="Q219" t="str">
        <f t="shared" si="18"/>
        <v>Full Price</v>
      </c>
      <c r="R219" t="str">
        <f t="shared" si="19"/>
        <v>Check Return Policy</v>
      </c>
    </row>
    <row r="220" spans="1:18" x14ac:dyDescent="0.25">
      <c r="A220" s="4">
        <v>1219</v>
      </c>
      <c r="B220" s="5" t="s">
        <v>231</v>
      </c>
      <c r="C220" s="5" t="s">
        <v>513</v>
      </c>
      <c r="D220" s="5" t="s">
        <v>538</v>
      </c>
      <c r="E220" s="5" t="s">
        <v>573</v>
      </c>
      <c r="F220" s="5" t="s">
        <v>576</v>
      </c>
      <c r="G220" s="4">
        <v>17</v>
      </c>
      <c r="H220" s="4">
        <v>195</v>
      </c>
      <c r="I220" s="4">
        <v>10</v>
      </c>
      <c r="J220" s="6">
        <v>45731</v>
      </c>
      <c r="K220" t="s">
        <v>581</v>
      </c>
      <c r="L220" s="5" t="s">
        <v>582</v>
      </c>
      <c r="M220" s="5" t="s">
        <v>586</v>
      </c>
      <c r="N220" s="7" t="str">
        <f t="shared" si="15"/>
        <v>2025</v>
      </c>
      <c r="O220" s="7" t="str">
        <f t="shared" si="16"/>
        <v>Mar</v>
      </c>
      <c r="P220" s="7" t="str">
        <f t="shared" si="17"/>
        <v>Sat</v>
      </c>
      <c r="Q220" t="str">
        <f t="shared" si="18"/>
        <v>Discounted</v>
      </c>
      <c r="R220" t="str">
        <f t="shared" si="19"/>
        <v>Check Return Policy</v>
      </c>
    </row>
    <row r="221" spans="1:18" x14ac:dyDescent="0.25">
      <c r="A221" s="4">
        <v>1220</v>
      </c>
      <c r="B221" s="5" t="s">
        <v>232</v>
      </c>
      <c r="C221" s="5" t="s">
        <v>514</v>
      </c>
      <c r="D221" s="5" t="s">
        <v>516</v>
      </c>
      <c r="E221" s="5" t="s">
        <v>573</v>
      </c>
      <c r="F221" s="5" t="s">
        <v>576</v>
      </c>
      <c r="G221" s="4">
        <v>17</v>
      </c>
      <c r="H221" s="4">
        <v>332</v>
      </c>
      <c r="I221" s="4">
        <v>5</v>
      </c>
      <c r="J221" s="6">
        <v>45880</v>
      </c>
      <c r="K221" t="s">
        <v>580</v>
      </c>
      <c r="L221" s="5" t="s">
        <v>582</v>
      </c>
      <c r="M221" s="5" t="s">
        <v>586</v>
      </c>
      <c r="N221" s="7" t="str">
        <f t="shared" si="15"/>
        <v>2025</v>
      </c>
      <c r="O221" s="7" t="str">
        <f t="shared" si="16"/>
        <v>Aug</v>
      </c>
      <c r="P221" s="7" t="str">
        <f t="shared" si="17"/>
        <v>Mon</v>
      </c>
      <c r="Q221" t="str">
        <f t="shared" si="18"/>
        <v>Discounted</v>
      </c>
      <c r="R221" t="str">
        <f t="shared" si="19"/>
        <v>Check Return Policy</v>
      </c>
    </row>
    <row r="222" spans="1:18" x14ac:dyDescent="0.25">
      <c r="A222" s="4">
        <v>1221</v>
      </c>
      <c r="B222" s="5" t="s">
        <v>233</v>
      </c>
      <c r="C222" s="5" t="s">
        <v>512</v>
      </c>
      <c r="D222" s="5" t="s">
        <v>556</v>
      </c>
      <c r="E222" s="5" t="s">
        <v>565</v>
      </c>
      <c r="F222" s="5" t="s">
        <v>575</v>
      </c>
      <c r="G222" s="4">
        <v>7</v>
      </c>
      <c r="H222" s="4">
        <v>10</v>
      </c>
      <c r="I222" s="4">
        <v>10</v>
      </c>
      <c r="J222" s="6">
        <v>45876</v>
      </c>
      <c r="K222" t="s">
        <v>581</v>
      </c>
      <c r="L222" s="5" t="s">
        <v>582</v>
      </c>
      <c r="M222" s="5" t="s">
        <v>585</v>
      </c>
      <c r="N222" s="7" t="str">
        <f t="shared" si="15"/>
        <v>2025</v>
      </c>
      <c r="O222" s="7" t="str">
        <f t="shared" si="16"/>
        <v>Aug</v>
      </c>
      <c r="P222" s="7" t="str">
        <f t="shared" si="17"/>
        <v>Thu</v>
      </c>
      <c r="Q222" t="str">
        <f t="shared" si="18"/>
        <v>Discounted</v>
      </c>
      <c r="R222" t="str">
        <f t="shared" si="19"/>
        <v>No Action</v>
      </c>
    </row>
    <row r="223" spans="1:18" x14ac:dyDescent="0.25">
      <c r="A223" s="4">
        <v>1222</v>
      </c>
      <c r="B223" s="5" t="s">
        <v>234</v>
      </c>
      <c r="C223" s="5" t="s">
        <v>513</v>
      </c>
      <c r="D223" s="5" t="s">
        <v>521</v>
      </c>
      <c r="E223" s="5" t="s">
        <v>568</v>
      </c>
      <c r="F223" s="5" t="s">
        <v>577</v>
      </c>
      <c r="G223" s="4">
        <v>18</v>
      </c>
      <c r="H223" s="4">
        <v>414</v>
      </c>
      <c r="I223" s="4">
        <v>15</v>
      </c>
      <c r="J223" s="6">
        <v>45782</v>
      </c>
      <c r="K223" t="s">
        <v>579</v>
      </c>
      <c r="L223" s="5" t="s">
        <v>583</v>
      </c>
      <c r="M223" s="5" t="s">
        <v>586</v>
      </c>
      <c r="N223" s="7" t="str">
        <f t="shared" si="15"/>
        <v>2025</v>
      </c>
      <c r="O223" s="7" t="str">
        <f t="shared" si="16"/>
        <v>May</v>
      </c>
      <c r="P223" s="7" t="str">
        <f t="shared" si="17"/>
        <v>Mon</v>
      </c>
      <c r="Q223" t="str">
        <f t="shared" si="18"/>
        <v>Discounted</v>
      </c>
      <c r="R223" t="str">
        <f t="shared" si="19"/>
        <v>Check Return Policy</v>
      </c>
    </row>
    <row r="224" spans="1:18" x14ac:dyDescent="0.25">
      <c r="A224" s="4">
        <v>1223</v>
      </c>
      <c r="B224" s="5" t="s">
        <v>235</v>
      </c>
      <c r="C224" s="5" t="s">
        <v>513</v>
      </c>
      <c r="D224" s="5" t="s">
        <v>562</v>
      </c>
      <c r="E224" s="5" t="s">
        <v>570</v>
      </c>
      <c r="F224" s="5" t="s">
        <v>575</v>
      </c>
      <c r="G224" s="4">
        <v>10</v>
      </c>
      <c r="H224" s="4">
        <v>9</v>
      </c>
      <c r="I224" s="4">
        <v>10</v>
      </c>
      <c r="J224" s="6">
        <v>45937</v>
      </c>
      <c r="K224" t="s">
        <v>578</v>
      </c>
      <c r="L224" s="5" t="s">
        <v>582</v>
      </c>
      <c r="M224" s="5" t="s">
        <v>585</v>
      </c>
      <c r="N224" s="7" t="str">
        <f t="shared" si="15"/>
        <v>2025</v>
      </c>
      <c r="O224" s="7" t="str">
        <f t="shared" si="16"/>
        <v>Oct</v>
      </c>
      <c r="P224" s="7" t="str">
        <f t="shared" si="17"/>
        <v>Tue</v>
      </c>
      <c r="Q224" t="str">
        <f t="shared" si="18"/>
        <v>Discounted</v>
      </c>
      <c r="R224" t="str">
        <f t="shared" si="19"/>
        <v>No Action</v>
      </c>
    </row>
    <row r="225" spans="1:18" x14ac:dyDescent="0.25">
      <c r="A225" s="4">
        <v>1224</v>
      </c>
      <c r="B225" s="5" t="s">
        <v>236</v>
      </c>
      <c r="C225" s="5" t="s">
        <v>513</v>
      </c>
      <c r="D225" s="5" t="s">
        <v>560</v>
      </c>
      <c r="E225" s="5" t="s">
        <v>570</v>
      </c>
      <c r="F225" s="5" t="s">
        <v>575</v>
      </c>
      <c r="G225" s="4">
        <v>2</v>
      </c>
      <c r="H225" s="4">
        <v>7</v>
      </c>
      <c r="I225" s="4">
        <v>15</v>
      </c>
      <c r="J225" s="6">
        <v>45895</v>
      </c>
      <c r="K225" t="s">
        <v>580</v>
      </c>
      <c r="L225" s="5" t="s">
        <v>584</v>
      </c>
      <c r="M225" s="5" t="s">
        <v>585</v>
      </c>
      <c r="N225" s="7" t="str">
        <f t="shared" si="15"/>
        <v>2025</v>
      </c>
      <c r="O225" s="7" t="str">
        <f t="shared" si="16"/>
        <v>Aug</v>
      </c>
      <c r="P225" s="7" t="str">
        <f t="shared" si="17"/>
        <v>Tue</v>
      </c>
      <c r="Q225" t="str">
        <f t="shared" si="18"/>
        <v>Discounted</v>
      </c>
      <c r="R225" t="str">
        <f t="shared" si="19"/>
        <v>No Action</v>
      </c>
    </row>
    <row r="226" spans="1:18" x14ac:dyDescent="0.25">
      <c r="A226" s="4">
        <v>1225</v>
      </c>
      <c r="B226" s="5" t="s">
        <v>237</v>
      </c>
      <c r="C226" s="5" t="s">
        <v>511</v>
      </c>
      <c r="D226" s="5" t="s">
        <v>539</v>
      </c>
      <c r="E226" s="5" t="s">
        <v>573</v>
      </c>
      <c r="F226" s="5" t="s">
        <v>576</v>
      </c>
      <c r="G226" s="4">
        <v>13</v>
      </c>
      <c r="H226" s="4">
        <v>201</v>
      </c>
      <c r="I226" s="4">
        <v>5</v>
      </c>
      <c r="J226" s="6">
        <v>45718</v>
      </c>
      <c r="K226" t="s">
        <v>579</v>
      </c>
      <c r="L226" s="5" t="s">
        <v>583</v>
      </c>
      <c r="M226" s="5" t="s">
        <v>586</v>
      </c>
      <c r="N226" s="7" t="str">
        <f t="shared" si="15"/>
        <v>2025</v>
      </c>
      <c r="O226" s="7" t="str">
        <f t="shared" si="16"/>
        <v>Mar</v>
      </c>
      <c r="P226" s="7" t="str">
        <f t="shared" si="17"/>
        <v>Sun</v>
      </c>
      <c r="Q226" t="str">
        <f t="shared" si="18"/>
        <v>Discounted</v>
      </c>
      <c r="R226" t="str">
        <f t="shared" si="19"/>
        <v>Check Return Policy</v>
      </c>
    </row>
    <row r="227" spans="1:18" x14ac:dyDescent="0.25">
      <c r="A227" s="4">
        <v>1226</v>
      </c>
      <c r="B227" s="5" t="s">
        <v>238</v>
      </c>
      <c r="C227" s="5" t="s">
        <v>514</v>
      </c>
      <c r="D227" s="5" t="s">
        <v>544</v>
      </c>
      <c r="E227" s="5" t="s">
        <v>568</v>
      </c>
      <c r="F227" s="5" t="s">
        <v>577</v>
      </c>
      <c r="G227" s="4">
        <v>7</v>
      </c>
      <c r="H227" s="4">
        <v>102</v>
      </c>
      <c r="I227" s="4">
        <v>15</v>
      </c>
      <c r="J227" s="6">
        <v>45726</v>
      </c>
      <c r="K227" t="s">
        <v>581</v>
      </c>
      <c r="L227" s="5" t="s">
        <v>582</v>
      </c>
      <c r="M227" s="5" t="s">
        <v>586</v>
      </c>
      <c r="N227" s="7" t="str">
        <f t="shared" si="15"/>
        <v>2025</v>
      </c>
      <c r="O227" s="7" t="str">
        <f t="shared" si="16"/>
        <v>Mar</v>
      </c>
      <c r="P227" s="7" t="str">
        <f t="shared" si="17"/>
        <v>Mon</v>
      </c>
      <c r="Q227" t="str">
        <f t="shared" si="18"/>
        <v>Discounted</v>
      </c>
      <c r="R227" t="str">
        <f t="shared" si="19"/>
        <v>Check Return Policy</v>
      </c>
    </row>
    <row r="228" spans="1:18" x14ac:dyDescent="0.25">
      <c r="A228" s="4">
        <v>1227</v>
      </c>
      <c r="B228" s="5" t="s">
        <v>239</v>
      </c>
      <c r="C228" s="5" t="s">
        <v>513</v>
      </c>
      <c r="D228" s="5" t="s">
        <v>526</v>
      </c>
      <c r="E228" s="5" t="s">
        <v>568</v>
      </c>
      <c r="F228" s="5" t="s">
        <v>577</v>
      </c>
      <c r="G228" s="4">
        <v>4</v>
      </c>
      <c r="H228" s="4">
        <v>224</v>
      </c>
      <c r="I228" s="4">
        <v>10</v>
      </c>
      <c r="J228" s="6">
        <v>45901</v>
      </c>
      <c r="K228" t="s">
        <v>580</v>
      </c>
      <c r="L228" s="5" t="s">
        <v>584</v>
      </c>
      <c r="M228" s="5" t="s">
        <v>585</v>
      </c>
      <c r="N228" s="7" t="str">
        <f t="shared" si="15"/>
        <v>2025</v>
      </c>
      <c r="O228" s="7" t="str">
        <f t="shared" si="16"/>
        <v>Sep</v>
      </c>
      <c r="P228" s="7" t="str">
        <f t="shared" si="17"/>
        <v>Mon</v>
      </c>
      <c r="Q228" t="str">
        <f t="shared" si="18"/>
        <v>Discounted</v>
      </c>
      <c r="R228" t="str">
        <f t="shared" si="19"/>
        <v>No Action</v>
      </c>
    </row>
    <row r="229" spans="1:18" x14ac:dyDescent="0.25">
      <c r="A229" s="4">
        <v>1228</v>
      </c>
      <c r="B229" s="5" t="s">
        <v>240</v>
      </c>
      <c r="C229" s="5" t="s">
        <v>513</v>
      </c>
      <c r="D229" s="5" t="s">
        <v>543</v>
      </c>
      <c r="E229" s="5" t="s">
        <v>567</v>
      </c>
      <c r="F229" s="5" t="s">
        <v>576</v>
      </c>
      <c r="G229" s="4">
        <v>5</v>
      </c>
      <c r="H229" s="4">
        <v>1346</v>
      </c>
      <c r="I229" s="4">
        <v>15</v>
      </c>
      <c r="J229" s="6">
        <v>45993</v>
      </c>
      <c r="K229" t="s">
        <v>579</v>
      </c>
      <c r="L229" s="5" t="s">
        <v>584</v>
      </c>
      <c r="M229" s="5" t="s">
        <v>585</v>
      </c>
      <c r="N229" s="7" t="str">
        <f t="shared" si="15"/>
        <v>2025</v>
      </c>
      <c r="O229" s="7" t="str">
        <f t="shared" si="16"/>
        <v>Dec</v>
      </c>
      <c r="P229" s="7" t="str">
        <f t="shared" si="17"/>
        <v>Tue</v>
      </c>
      <c r="Q229" t="str">
        <f t="shared" si="18"/>
        <v>Discounted</v>
      </c>
      <c r="R229" t="str">
        <f t="shared" si="19"/>
        <v>No Action</v>
      </c>
    </row>
    <row r="230" spans="1:18" x14ac:dyDescent="0.25">
      <c r="A230" s="4">
        <v>1229</v>
      </c>
      <c r="B230" s="5" t="s">
        <v>241</v>
      </c>
      <c r="C230" s="5" t="s">
        <v>512</v>
      </c>
      <c r="D230" s="5" t="s">
        <v>549</v>
      </c>
      <c r="E230" s="5" t="s">
        <v>571</v>
      </c>
      <c r="F230" s="5" t="s">
        <v>577</v>
      </c>
      <c r="G230" s="4">
        <v>13</v>
      </c>
      <c r="H230" s="4">
        <v>114</v>
      </c>
      <c r="I230" s="4">
        <v>15</v>
      </c>
      <c r="J230" s="6">
        <v>45983</v>
      </c>
      <c r="K230" t="s">
        <v>581</v>
      </c>
      <c r="L230" s="5" t="s">
        <v>583</v>
      </c>
      <c r="M230" s="5" t="s">
        <v>585</v>
      </c>
      <c r="N230" s="7" t="str">
        <f t="shared" si="15"/>
        <v>2025</v>
      </c>
      <c r="O230" s="7" t="str">
        <f t="shared" si="16"/>
        <v>Nov</v>
      </c>
      <c r="P230" s="7" t="str">
        <f t="shared" si="17"/>
        <v>Sat</v>
      </c>
      <c r="Q230" t="str">
        <f t="shared" si="18"/>
        <v>Discounted</v>
      </c>
      <c r="R230" t="str">
        <f t="shared" si="19"/>
        <v>No Action</v>
      </c>
    </row>
    <row r="231" spans="1:18" x14ac:dyDescent="0.25">
      <c r="A231" s="4">
        <v>1230</v>
      </c>
      <c r="B231" s="5" t="s">
        <v>242</v>
      </c>
      <c r="C231" s="5" t="s">
        <v>511</v>
      </c>
      <c r="D231" s="5" t="s">
        <v>537</v>
      </c>
      <c r="E231" s="5" t="s">
        <v>570</v>
      </c>
      <c r="F231" s="5" t="s">
        <v>575</v>
      </c>
      <c r="G231" s="4">
        <v>10</v>
      </c>
      <c r="H231" s="4">
        <v>6</v>
      </c>
      <c r="I231" s="4">
        <v>10</v>
      </c>
      <c r="J231" s="6">
        <v>45706</v>
      </c>
      <c r="K231" t="s">
        <v>579</v>
      </c>
      <c r="L231" s="5" t="s">
        <v>582</v>
      </c>
      <c r="M231" s="5" t="s">
        <v>586</v>
      </c>
      <c r="N231" s="7" t="str">
        <f t="shared" si="15"/>
        <v>2025</v>
      </c>
      <c r="O231" s="7" t="str">
        <f t="shared" si="16"/>
        <v>Feb</v>
      </c>
      <c r="P231" s="7" t="str">
        <f t="shared" si="17"/>
        <v>Tue</v>
      </c>
      <c r="Q231" t="str">
        <f t="shared" si="18"/>
        <v>Discounted</v>
      </c>
      <c r="R231" t="str">
        <f t="shared" si="19"/>
        <v>Check Return Policy</v>
      </c>
    </row>
    <row r="232" spans="1:18" x14ac:dyDescent="0.25">
      <c r="A232" s="4">
        <v>1231</v>
      </c>
      <c r="B232" s="5" t="s">
        <v>243</v>
      </c>
      <c r="C232" s="5" t="s">
        <v>511</v>
      </c>
      <c r="D232" s="5" t="s">
        <v>520</v>
      </c>
      <c r="E232" s="5" t="s">
        <v>565</v>
      </c>
      <c r="F232" s="5" t="s">
        <v>575</v>
      </c>
      <c r="G232" s="4">
        <v>12</v>
      </c>
      <c r="H232" s="4">
        <v>9</v>
      </c>
      <c r="I232" s="4">
        <v>0</v>
      </c>
      <c r="J232" s="6">
        <v>45808</v>
      </c>
      <c r="K232" t="s">
        <v>581</v>
      </c>
      <c r="L232" s="5" t="s">
        <v>584</v>
      </c>
      <c r="M232" s="5" t="s">
        <v>586</v>
      </c>
      <c r="N232" s="7" t="str">
        <f t="shared" si="15"/>
        <v>2025</v>
      </c>
      <c r="O232" s="7" t="str">
        <f t="shared" si="16"/>
        <v>May</v>
      </c>
      <c r="P232" s="7" t="str">
        <f t="shared" si="17"/>
        <v>Sat</v>
      </c>
      <c r="Q232" t="str">
        <f t="shared" si="18"/>
        <v>Full Price</v>
      </c>
      <c r="R232" t="str">
        <f t="shared" si="19"/>
        <v>Check Return Policy</v>
      </c>
    </row>
    <row r="233" spans="1:18" x14ac:dyDescent="0.25">
      <c r="A233" s="4">
        <v>1232</v>
      </c>
      <c r="B233" s="5" t="s">
        <v>244</v>
      </c>
      <c r="C233" s="5" t="s">
        <v>513</v>
      </c>
      <c r="D233" s="5" t="s">
        <v>519</v>
      </c>
      <c r="E233" s="5" t="s">
        <v>565</v>
      </c>
      <c r="F233" s="5" t="s">
        <v>575</v>
      </c>
      <c r="G233" s="4">
        <v>20</v>
      </c>
      <c r="H233" s="4">
        <v>3</v>
      </c>
      <c r="I233" s="4">
        <v>15</v>
      </c>
      <c r="J233" s="6">
        <v>45844</v>
      </c>
      <c r="K233" t="s">
        <v>579</v>
      </c>
      <c r="L233" s="5" t="s">
        <v>582</v>
      </c>
      <c r="M233" s="5" t="s">
        <v>585</v>
      </c>
      <c r="N233" s="7" t="str">
        <f t="shared" si="15"/>
        <v>2025</v>
      </c>
      <c r="O233" s="7" t="str">
        <f t="shared" si="16"/>
        <v>Jul</v>
      </c>
      <c r="P233" s="7" t="str">
        <f t="shared" si="17"/>
        <v>Sun</v>
      </c>
      <c r="Q233" t="str">
        <f t="shared" si="18"/>
        <v>Discounted</v>
      </c>
      <c r="R233" t="str">
        <f t="shared" si="19"/>
        <v>No Action</v>
      </c>
    </row>
    <row r="234" spans="1:18" x14ac:dyDescent="0.25">
      <c r="A234" s="4">
        <v>1233</v>
      </c>
      <c r="B234" s="5" t="s">
        <v>245</v>
      </c>
      <c r="C234" s="5" t="s">
        <v>511</v>
      </c>
      <c r="D234" s="5" t="s">
        <v>519</v>
      </c>
      <c r="E234" s="5" t="s">
        <v>569</v>
      </c>
      <c r="F234" s="5" t="s">
        <v>576</v>
      </c>
      <c r="G234" s="4">
        <v>18</v>
      </c>
      <c r="H234" s="4">
        <v>965</v>
      </c>
      <c r="I234" s="4">
        <v>0</v>
      </c>
      <c r="J234" s="6">
        <v>45897</v>
      </c>
      <c r="K234" t="s">
        <v>581</v>
      </c>
      <c r="L234" s="5" t="s">
        <v>583</v>
      </c>
      <c r="M234" s="5" t="s">
        <v>586</v>
      </c>
      <c r="N234" s="7" t="str">
        <f t="shared" si="15"/>
        <v>2025</v>
      </c>
      <c r="O234" s="7" t="str">
        <f t="shared" si="16"/>
        <v>Aug</v>
      </c>
      <c r="P234" s="7" t="str">
        <f t="shared" si="17"/>
        <v>Thu</v>
      </c>
      <c r="Q234" t="str">
        <f t="shared" si="18"/>
        <v>Full Price</v>
      </c>
      <c r="R234" t="str">
        <f t="shared" si="19"/>
        <v>Check Return Policy</v>
      </c>
    </row>
    <row r="235" spans="1:18" x14ac:dyDescent="0.25">
      <c r="A235" s="4">
        <v>1234</v>
      </c>
      <c r="B235" s="5" t="s">
        <v>246</v>
      </c>
      <c r="C235" s="5" t="s">
        <v>511</v>
      </c>
      <c r="D235" s="5" t="s">
        <v>558</v>
      </c>
      <c r="E235" s="5" t="s">
        <v>574</v>
      </c>
      <c r="F235" s="5" t="s">
        <v>576</v>
      </c>
      <c r="G235" s="4">
        <v>20</v>
      </c>
      <c r="H235" s="4">
        <v>100</v>
      </c>
      <c r="I235" s="4">
        <v>0</v>
      </c>
      <c r="J235" s="6">
        <v>45838</v>
      </c>
      <c r="K235" t="s">
        <v>581</v>
      </c>
      <c r="L235" s="5" t="s">
        <v>584</v>
      </c>
      <c r="M235" s="5" t="s">
        <v>586</v>
      </c>
      <c r="N235" s="7" t="str">
        <f t="shared" si="15"/>
        <v>2025</v>
      </c>
      <c r="O235" s="7" t="str">
        <f t="shared" si="16"/>
        <v>Jun</v>
      </c>
      <c r="P235" s="7" t="str">
        <f t="shared" si="17"/>
        <v>Mon</v>
      </c>
      <c r="Q235" t="str">
        <f t="shared" si="18"/>
        <v>Full Price</v>
      </c>
      <c r="R235" t="str">
        <f t="shared" si="19"/>
        <v>Check Return Policy</v>
      </c>
    </row>
    <row r="236" spans="1:18" x14ac:dyDescent="0.25">
      <c r="A236" s="4">
        <v>1235</v>
      </c>
      <c r="B236" s="5" t="s">
        <v>247</v>
      </c>
      <c r="C236" s="5" t="s">
        <v>512</v>
      </c>
      <c r="D236" s="5" t="s">
        <v>537</v>
      </c>
      <c r="E236" s="5" t="s">
        <v>568</v>
      </c>
      <c r="F236" s="5" t="s">
        <v>577</v>
      </c>
      <c r="G236" s="4">
        <v>18</v>
      </c>
      <c r="H236" s="4">
        <v>443</v>
      </c>
      <c r="I236" s="4">
        <v>5</v>
      </c>
      <c r="J236" s="6">
        <v>45874</v>
      </c>
      <c r="K236" t="s">
        <v>579</v>
      </c>
      <c r="L236" s="5" t="s">
        <v>583</v>
      </c>
      <c r="M236" s="5" t="s">
        <v>586</v>
      </c>
      <c r="N236" s="7" t="str">
        <f t="shared" si="15"/>
        <v>2025</v>
      </c>
      <c r="O236" s="7" t="str">
        <f t="shared" si="16"/>
        <v>Aug</v>
      </c>
      <c r="P236" s="7" t="str">
        <f t="shared" si="17"/>
        <v>Tue</v>
      </c>
      <c r="Q236" t="str">
        <f t="shared" si="18"/>
        <v>Discounted</v>
      </c>
      <c r="R236" t="str">
        <f t="shared" si="19"/>
        <v>Check Return Policy</v>
      </c>
    </row>
    <row r="237" spans="1:18" x14ac:dyDescent="0.25">
      <c r="A237" s="4">
        <v>1236</v>
      </c>
      <c r="B237" s="5" t="s">
        <v>248</v>
      </c>
      <c r="C237" s="5" t="s">
        <v>511</v>
      </c>
      <c r="D237" s="5" t="s">
        <v>543</v>
      </c>
      <c r="E237" s="5" t="s">
        <v>568</v>
      </c>
      <c r="F237" s="5" t="s">
        <v>577</v>
      </c>
      <c r="G237" s="4">
        <v>11</v>
      </c>
      <c r="H237" s="4">
        <v>411</v>
      </c>
      <c r="I237" s="4">
        <v>0</v>
      </c>
      <c r="J237" s="6">
        <v>45669</v>
      </c>
      <c r="K237" t="s">
        <v>580</v>
      </c>
      <c r="L237" s="5" t="s">
        <v>583</v>
      </c>
      <c r="M237" s="5" t="s">
        <v>585</v>
      </c>
      <c r="N237" s="7" t="str">
        <f t="shared" si="15"/>
        <v>2025</v>
      </c>
      <c r="O237" s="7" t="str">
        <f t="shared" si="16"/>
        <v>Jan</v>
      </c>
      <c r="P237" s="7" t="str">
        <f t="shared" si="17"/>
        <v>Sun</v>
      </c>
      <c r="Q237" t="str">
        <f t="shared" si="18"/>
        <v>Full Price</v>
      </c>
      <c r="R237" t="str">
        <f t="shared" si="19"/>
        <v>No Action</v>
      </c>
    </row>
    <row r="238" spans="1:18" x14ac:dyDescent="0.25">
      <c r="A238" s="4">
        <v>1237</v>
      </c>
      <c r="B238" s="5" t="s">
        <v>249</v>
      </c>
      <c r="C238" s="5" t="s">
        <v>511</v>
      </c>
      <c r="D238" s="5" t="s">
        <v>539</v>
      </c>
      <c r="E238" s="5" t="s">
        <v>569</v>
      </c>
      <c r="F238" s="5" t="s">
        <v>576</v>
      </c>
      <c r="G238" s="4">
        <v>5</v>
      </c>
      <c r="H238" s="4">
        <v>473</v>
      </c>
      <c r="I238" s="4">
        <v>5</v>
      </c>
      <c r="J238" s="6">
        <v>45803</v>
      </c>
      <c r="K238" t="s">
        <v>579</v>
      </c>
      <c r="L238" s="5" t="s">
        <v>582</v>
      </c>
      <c r="M238" s="5" t="s">
        <v>585</v>
      </c>
      <c r="N238" s="7" t="str">
        <f t="shared" si="15"/>
        <v>2025</v>
      </c>
      <c r="O238" s="7" t="str">
        <f t="shared" si="16"/>
        <v>May</v>
      </c>
      <c r="P238" s="7" t="str">
        <f t="shared" si="17"/>
        <v>Mon</v>
      </c>
      <c r="Q238" t="str">
        <f t="shared" si="18"/>
        <v>Discounted</v>
      </c>
      <c r="R238" t="str">
        <f t="shared" si="19"/>
        <v>No Action</v>
      </c>
    </row>
    <row r="239" spans="1:18" x14ac:dyDescent="0.25">
      <c r="A239" s="4">
        <v>1238</v>
      </c>
      <c r="B239" s="5" t="s">
        <v>250</v>
      </c>
      <c r="C239" s="5" t="s">
        <v>513</v>
      </c>
      <c r="D239" s="5" t="s">
        <v>540</v>
      </c>
      <c r="E239" s="5" t="s">
        <v>569</v>
      </c>
      <c r="F239" s="5" t="s">
        <v>576</v>
      </c>
      <c r="G239" s="4">
        <v>5</v>
      </c>
      <c r="H239" s="4">
        <v>938</v>
      </c>
      <c r="I239" s="4">
        <v>10</v>
      </c>
      <c r="J239" s="6">
        <v>45793</v>
      </c>
      <c r="K239" t="s">
        <v>580</v>
      </c>
      <c r="L239" s="5" t="s">
        <v>582</v>
      </c>
      <c r="M239" s="5" t="s">
        <v>586</v>
      </c>
      <c r="N239" s="7" t="str">
        <f t="shared" si="15"/>
        <v>2025</v>
      </c>
      <c r="O239" s="7" t="str">
        <f t="shared" si="16"/>
        <v>May</v>
      </c>
      <c r="P239" s="7" t="str">
        <f t="shared" si="17"/>
        <v>Fri</v>
      </c>
      <c r="Q239" t="str">
        <f t="shared" si="18"/>
        <v>Discounted</v>
      </c>
      <c r="R239" t="str">
        <f t="shared" si="19"/>
        <v>Check Return Policy</v>
      </c>
    </row>
    <row r="240" spans="1:18" x14ac:dyDescent="0.25">
      <c r="A240" s="4">
        <v>1239</v>
      </c>
      <c r="B240" s="5" t="s">
        <v>251</v>
      </c>
      <c r="C240" s="5" t="s">
        <v>514</v>
      </c>
      <c r="D240" s="5" t="s">
        <v>522</v>
      </c>
      <c r="E240" s="5" t="s">
        <v>573</v>
      </c>
      <c r="F240" s="5" t="s">
        <v>576</v>
      </c>
      <c r="G240" s="4">
        <v>9</v>
      </c>
      <c r="H240" s="4">
        <v>211</v>
      </c>
      <c r="I240" s="4">
        <v>15</v>
      </c>
      <c r="J240" s="6">
        <v>45882</v>
      </c>
      <c r="K240" t="s">
        <v>581</v>
      </c>
      <c r="L240" s="5" t="s">
        <v>584</v>
      </c>
      <c r="M240" s="5" t="s">
        <v>585</v>
      </c>
      <c r="N240" s="7" t="str">
        <f t="shared" si="15"/>
        <v>2025</v>
      </c>
      <c r="O240" s="7" t="str">
        <f t="shared" si="16"/>
        <v>Aug</v>
      </c>
      <c r="P240" s="7" t="str">
        <f t="shared" si="17"/>
        <v>Wed</v>
      </c>
      <c r="Q240" t="str">
        <f t="shared" si="18"/>
        <v>Discounted</v>
      </c>
      <c r="R240" t="str">
        <f t="shared" si="19"/>
        <v>No Action</v>
      </c>
    </row>
    <row r="241" spans="1:18" x14ac:dyDescent="0.25">
      <c r="A241" s="4">
        <v>1240</v>
      </c>
      <c r="B241" s="5" t="s">
        <v>252</v>
      </c>
      <c r="C241" s="5" t="s">
        <v>512</v>
      </c>
      <c r="D241" s="5" t="s">
        <v>555</v>
      </c>
      <c r="E241" s="5" t="s">
        <v>569</v>
      </c>
      <c r="F241" s="5" t="s">
        <v>576</v>
      </c>
      <c r="G241" s="4">
        <v>19</v>
      </c>
      <c r="H241" s="4">
        <v>663</v>
      </c>
      <c r="I241" s="4">
        <v>10</v>
      </c>
      <c r="J241" s="6">
        <v>46003</v>
      </c>
      <c r="K241" t="s">
        <v>578</v>
      </c>
      <c r="L241" s="5" t="s">
        <v>582</v>
      </c>
      <c r="M241" s="5" t="s">
        <v>586</v>
      </c>
      <c r="N241" s="7" t="str">
        <f t="shared" si="15"/>
        <v>2025</v>
      </c>
      <c r="O241" s="7" t="str">
        <f t="shared" si="16"/>
        <v>Dec</v>
      </c>
      <c r="P241" s="7" t="str">
        <f t="shared" si="17"/>
        <v>Fri</v>
      </c>
      <c r="Q241" t="str">
        <f t="shared" si="18"/>
        <v>Discounted</v>
      </c>
      <c r="R241" t="str">
        <f t="shared" si="19"/>
        <v>Check Return Policy</v>
      </c>
    </row>
    <row r="242" spans="1:18" x14ac:dyDescent="0.25">
      <c r="A242" s="4">
        <v>1241</v>
      </c>
      <c r="B242" s="5" t="s">
        <v>253</v>
      </c>
      <c r="C242" s="5" t="s">
        <v>511</v>
      </c>
      <c r="D242" s="5" t="s">
        <v>530</v>
      </c>
      <c r="E242" s="5" t="s">
        <v>565</v>
      </c>
      <c r="F242" s="5" t="s">
        <v>575</v>
      </c>
      <c r="G242" s="4">
        <v>1</v>
      </c>
      <c r="H242" s="4">
        <v>2</v>
      </c>
      <c r="I242" s="4">
        <v>15</v>
      </c>
      <c r="J242" s="6">
        <v>45939</v>
      </c>
      <c r="K242" t="s">
        <v>580</v>
      </c>
      <c r="L242" s="5" t="s">
        <v>584</v>
      </c>
      <c r="M242" s="5" t="s">
        <v>585</v>
      </c>
      <c r="N242" s="7" t="str">
        <f t="shared" si="15"/>
        <v>2025</v>
      </c>
      <c r="O242" s="7" t="str">
        <f t="shared" si="16"/>
        <v>Oct</v>
      </c>
      <c r="P242" s="7" t="str">
        <f t="shared" si="17"/>
        <v>Thu</v>
      </c>
      <c r="Q242" t="str">
        <f t="shared" si="18"/>
        <v>Discounted</v>
      </c>
      <c r="R242" t="str">
        <f t="shared" si="19"/>
        <v>No Action</v>
      </c>
    </row>
    <row r="243" spans="1:18" x14ac:dyDescent="0.25">
      <c r="A243" s="4">
        <v>1242</v>
      </c>
      <c r="B243" s="5" t="s">
        <v>254</v>
      </c>
      <c r="C243" s="5" t="s">
        <v>514</v>
      </c>
      <c r="D243" s="5" t="s">
        <v>536</v>
      </c>
      <c r="E243" s="5" t="s">
        <v>574</v>
      </c>
      <c r="F243" s="5" t="s">
        <v>576</v>
      </c>
      <c r="G243" s="4">
        <v>11</v>
      </c>
      <c r="H243" s="4">
        <v>40</v>
      </c>
      <c r="I243" s="4">
        <v>10</v>
      </c>
      <c r="J243" s="6">
        <v>45814</v>
      </c>
      <c r="K243" t="s">
        <v>579</v>
      </c>
      <c r="L243" s="5" t="s">
        <v>584</v>
      </c>
      <c r="M243" s="5" t="s">
        <v>586</v>
      </c>
      <c r="N243" s="7" t="str">
        <f t="shared" si="15"/>
        <v>2025</v>
      </c>
      <c r="O243" s="7" t="str">
        <f t="shared" si="16"/>
        <v>Jun</v>
      </c>
      <c r="P243" s="7" t="str">
        <f t="shared" si="17"/>
        <v>Fri</v>
      </c>
      <c r="Q243" t="str">
        <f t="shared" si="18"/>
        <v>Discounted</v>
      </c>
      <c r="R243" t="str">
        <f t="shared" si="19"/>
        <v>Check Return Policy</v>
      </c>
    </row>
    <row r="244" spans="1:18" x14ac:dyDescent="0.25">
      <c r="A244" s="4">
        <v>1243</v>
      </c>
      <c r="B244" s="5" t="s">
        <v>255</v>
      </c>
      <c r="C244" s="5" t="s">
        <v>512</v>
      </c>
      <c r="D244" s="5" t="s">
        <v>541</v>
      </c>
      <c r="E244" s="5" t="s">
        <v>571</v>
      </c>
      <c r="F244" s="5" t="s">
        <v>577</v>
      </c>
      <c r="G244" s="4">
        <v>20</v>
      </c>
      <c r="H244" s="4">
        <v>246</v>
      </c>
      <c r="I244" s="4">
        <v>5</v>
      </c>
      <c r="J244" s="6">
        <v>45853</v>
      </c>
      <c r="K244" t="s">
        <v>581</v>
      </c>
      <c r="L244" s="5" t="s">
        <v>583</v>
      </c>
      <c r="M244" s="5" t="s">
        <v>585</v>
      </c>
      <c r="N244" s="7" t="str">
        <f t="shared" si="15"/>
        <v>2025</v>
      </c>
      <c r="O244" s="7" t="str">
        <f t="shared" si="16"/>
        <v>Jul</v>
      </c>
      <c r="P244" s="7" t="str">
        <f t="shared" si="17"/>
        <v>Tue</v>
      </c>
      <c r="Q244" t="str">
        <f t="shared" si="18"/>
        <v>Discounted</v>
      </c>
      <c r="R244" t="str">
        <f t="shared" si="19"/>
        <v>No Action</v>
      </c>
    </row>
    <row r="245" spans="1:18" x14ac:dyDescent="0.25">
      <c r="A245" s="4">
        <v>1244</v>
      </c>
      <c r="B245" s="5" t="s">
        <v>256</v>
      </c>
      <c r="C245" s="5" t="s">
        <v>512</v>
      </c>
      <c r="D245" s="5" t="s">
        <v>517</v>
      </c>
      <c r="E245" s="5" t="s">
        <v>567</v>
      </c>
      <c r="F245" s="5" t="s">
        <v>576</v>
      </c>
      <c r="G245" s="4">
        <v>11</v>
      </c>
      <c r="H245" s="4">
        <v>844</v>
      </c>
      <c r="I245" s="4">
        <v>10</v>
      </c>
      <c r="J245" s="6">
        <v>45923</v>
      </c>
      <c r="K245" t="s">
        <v>579</v>
      </c>
      <c r="L245" s="5" t="s">
        <v>582</v>
      </c>
      <c r="M245" s="5" t="s">
        <v>586</v>
      </c>
      <c r="N245" s="7" t="str">
        <f t="shared" si="15"/>
        <v>2025</v>
      </c>
      <c r="O245" s="7" t="str">
        <f t="shared" si="16"/>
        <v>Sep</v>
      </c>
      <c r="P245" s="7" t="str">
        <f t="shared" si="17"/>
        <v>Tue</v>
      </c>
      <c r="Q245" t="str">
        <f t="shared" si="18"/>
        <v>Discounted</v>
      </c>
      <c r="R245" t="str">
        <f t="shared" si="19"/>
        <v>Check Return Policy</v>
      </c>
    </row>
    <row r="246" spans="1:18" x14ac:dyDescent="0.25">
      <c r="A246" s="4">
        <v>1245</v>
      </c>
      <c r="B246" s="5" t="s">
        <v>257</v>
      </c>
      <c r="C246" s="5" t="s">
        <v>513</v>
      </c>
      <c r="D246" s="5" t="s">
        <v>525</v>
      </c>
      <c r="E246" s="5" t="s">
        <v>574</v>
      </c>
      <c r="F246" s="5" t="s">
        <v>576</v>
      </c>
      <c r="G246" s="4">
        <v>13</v>
      </c>
      <c r="H246" s="4">
        <v>69</v>
      </c>
      <c r="I246" s="4">
        <v>10</v>
      </c>
      <c r="J246" s="6">
        <v>45796</v>
      </c>
      <c r="K246" t="s">
        <v>579</v>
      </c>
      <c r="L246" s="5" t="s">
        <v>582</v>
      </c>
      <c r="M246" s="5" t="s">
        <v>586</v>
      </c>
      <c r="N246" s="7" t="str">
        <f t="shared" si="15"/>
        <v>2025</v>
      </c>
      <c r="O246" s="7" t="str">
        <f t="shared" si="16"/>
        <v>May</v>
      </c>
      <c r="P246" s="7" t="str">
        <f t="shared" si="17"/>
        <v>Mon</v>
      </c>
      <c r="Q246" t="str">
        <f t="shared" si="18"/>
        <v>Discounted</v>
      </c>
      <c r="R246" t="str">
        <f t="shared" si="19"/>
        <v>Check Return Policy</v>
      </c>
    </row>
    <row r="247" spans="1:18" x14ac:dyDescent="0.25">
      <c r="A247" s="4">
        <v>1246</v>
      </c>
      <c r="B247" s="5" t="s">
        <v>258</v>
      </c>
      <c r="C247" s="5" t="s">
        <v>514</v>
      </c>
      <c r="D247" s="5" t="s">
        <v>557</v>
      </c>
      <c r="E247" s="5" t="s">
        <v>571</v>
      </c>
      <c r="F247" s="5" t="s">
        <v>577</v>
      </c>
      <c r="G247" s="4">
        <v>17</v>
      </c>
      <c r="H247" s="4">
        <v>200</v>
      </c>
      <c r="I247" s="4">
        <v>15</v>
      </c>
      <c r="J247" s="6">
        <v>45856</v>
      </c>
      <c r="K247" t="s">
        <v>579</v>
      </c>
      <c r="L247" s="5" t="s">
        <v>582</v>
      </c>
      <c r="M247" s="5" t="s">
        <v>586</v>
      </c>
      <c r="N247" s="7" t="str">
        <f t="shared" si="15"/>
        <v>2025</v>
      </c>
      <c r="O247" s="7" t="str">
        <f t="shared" si="16"/>
        <v>Jul</v>
      </c>
      <c r="P247" s="7" t="str">
        <f t="shared" si="17"/>
        <v>Fri</v>
      </c>
      <c r="Q247" t="str">
        <f t="shared" si="18"/>
        <v>Discounted</v>
      </c>
      <c r="R247" t="str">
        <f t="shared" si="19"/>
        <v>Check Return Policy</v>
      </c>
    </row>
    <row r="248" spans="1:18" x14ac:dyDescent="0.25">
      <c r="A248" s="4">
        <v>1247</v>
      </c>
      <c r="B248" s="5" t="s">
        <v>259</v>
      </c>
      <c r="C248" s="5" t="s">
        <v>511</v>
      </c>
      <c r="D248" s="5" t="s">
        <v>545</v>
      </c>
      <c r="E248" s="5" t="s">
        <v>565</v>
      </c>
      <c r="F248" s="5" t="s">
        <v>575</v>
      </c>
      <c r="G248" s="4">
        <v>4</v>
      </c>
      <c r="H248" s="4">
        <v>9</v>
      </c>
      <c r="I248" s="4">
        <v>10</v>
      </c>
      <c r="J248" s="6">
        <v>45889</v>
      </c>
      <c r="K248" t="s">
        <v>581</v>
      </c>
      <c r="L248" s="5" t="s">
        <v>584</v>
      </c>
      <c r="M248" s="5" t="s">
        <v>585</v>
      </c>
      <c r="N248" s="7" t="str">
        <f t="shared" si="15"/>
        <v>2025</v>
      </c>
      <c r="O248" s="7" t="str">
        <f t="shared" si="16"/>
        <v>Aug</v>
      </c>
      <c r="P248" s="7" t="str">
        <f t="shared" si="17"/>
        <v>Wed</v>
      </c>
      <c r="Q248" t="str">
        <f t="shared" si="18"/>
        <v>Discounted</v>
      </c>
      <c r="R248" t="str">
        <f t="shared" si="19"/>
        <v>No Action</v>
      </c>
    </row>
    <row r="249" spans="1:18" x14ac:dyDescent="0.25">
      <c r="A249" s="4">
        <v>1248</v>
      </c>
      <c r="B249" s="5" t="s">
        <v>260</v>
      </c>
      <c r="C249" s="5" t="s">
        <v>514</v>
      </c>
      <c r="D249" s="5" t="s">
        <v>555</v>
      </c>
      <c r="E249" s="5" t="s">
        <v>574</v>
      </c>
      <c r="F249" s="5" t="s">
        <v>576</v>
      </c>
      <c r="G249" s="4">
        <v>9</v>
      </c>
      <c r="H249" s="4">
        <v>94</v>
      </c>
      <c r="I249" s="4">
        <v>15</v>
      </c>
      <c r="J249" s="6">
        <v>45761</v>
      </c>
      <c r="K249" t="s">
        <v>579</v>
      </c>
      <c r="L249" s="5" t="s">
        <v>582</v>
      </c>
      <c r="M249" s="5" t="s">
        <v>585</v>
      </c>
      <c r="N249" s="7" t="str">
        <f t="shared" si="15"/>
        <v>2025</v>
      </c>
      <c r="O249" s="7" t="str">
        <f t="shared" si="16"/>
        <v>Apr</v>
      </c>
      <c r="P249" s="7" t="str">
        <f t="shared" si="17"/>
        <v>Mon</v>
      </c>
      <c r="Q249" t="str">
        <f t="shared" si="18"/>
        <v>Discounted</v>
      </c>
      <c r="R249" t="str">
        <f t="shared" si="19"/>
        <v>No Action</v>
      </c>
    </row>
    <row r="250" spans="1:18" x14ac:dyDescent="0.25">
      <c r="A250" s="4">
        <v>1249</v>
      </c>
      <c r="B250" s="5" t="s">
        <v>261</v>
      </c>
      <c r="C250" s="5" t="s">
        <v>511</v>
      </c>
      <c r="D250" s="5" t="s">
        <v>560</v>
      </c>
      <c r="E250" s="5" t="s">
        <v>566</v>
      </c>
      <c r="F250" s="5" t="s">
        <v>576</v>
      </c>
      <c r="G250" s="4">
        <v>14</v>
      </c>
      <c r="H250" s="4">
        <v>424</v>
      </c>
      <c r="I250" s="4">
        <v>5</v>
      </c>
      <c r="J250" s="6">
        <v>45776</v>
      </c>
      <c r="K250" t="s">
        <v>578</v>
      </c>
      <c r="L250" s="5" t="s">
        <v>582</v>
      </c>
      <c r="M250" s="5" t="s">
        <v>585</v>
      </c>
      <c r="N250" s="7" t="str">
        <f t="shared" si="15"/>
        <v>2025</v>
      </c>
      <c r="O250" s="7" t="str">
        <f t="shared" si="16"/>
        <v>Apr</v>
      </c>
      <c r="P250" s="7" t="str">
        <f t="shared" si="17"/>
        <v>Tue</v>
      </c>
      <c r="Q250" t="str">
        <f t="shared" si="18"/>
        <v>Discounted</v>
      </c>
      <c r="R250" t="str">
        <f t="shared" si="19"/>
        <v>No Action</v>
      </c>
    </row>
    <row r="251" spans="1:18" x14ac:dyDescent="0.25">
      <c r="A251" s="4">
        <v>1250</v>
      </c>
      <c r="B251" s="5" t="s">
        <v>262</v>
      </c>
      <c r="C251" s="5" t="s">
        <v>513</v>
      </c>
      <c r="D251" s="5" t="s">
        <v>553</v>
      </c>
      <c r="E251" s="5" t="s">
        <v>571</v>
      </c>
      <c r="F251" s="5" t="s">
        <v>577</v>
      </c>
      <c r="G251" s="4">
        <v>19</v>
      </c>
      <c r="H251" s="4">
        <v>249</v>
      </c>
      <c r="I251" s="4">
        <v>10</v>
      </c>
      <c r="J251" s="6">
        <v>45988</v>
      </c>
      <c r="K251" t="s">
        <v>581</v>
      </c>
      <c r="L251" s="5" t="s">
        <v>582</v>
      </c>
      <c r="M251" s="5" t="s">
        <v>585</v>
      </c>
      <c r="N251" s="7" t="str">
        <f t="shared" si="15"/>
        <v>2025</v>
      </c>
      <c r="O251" s="7" t="str">
        <f t="shared" si="16"/>
        <v>Nov</v>
      </c>
      <c r="P251" s="7" t="str">
        <f t="shared" si="17"/>
        <v>Thu</v>
      </c>
      <c r="Q251" t="str">
        <f t="shared" si="18"/>
        <v>Discounted</v>
      </c>
      <c r="R251" t="str">
        <f t="shared" si="19"/>
        <v>No Action</v>
      </c>
    </row>
    <row r="252" spans="1:18" x14ac:dyDescent="0.25">
      <c r="A252" s="4">
        <v>1251</v>
      </c>
      <c r="B252" s="5" t="s">
        <v>263</v>
      </c>
      <c r="C252" s="5" t="s">
        <v>513</v>
      </c>
      <c r="D252" s="5" t="s">
        <v>554</v>
      </c>
      <c r="E252" s="5" t="s">
        <v>570</v>
      </c>
      <c r="F252" s="5" t="s">
        <v>575</v>
      </c>
      <c r="G252" s="4">
        <v>13</v>
      </c>
      <c r="H252" s="4">
        <v>13</v>
      </c>
      <c r="I252" s="4">
        <v>5</v>
      </c>
      <c r="J252" s="6">
        <v>45655</v>
      </c>
      <c r="K252" t="s">
        <v>580</v>
      </c>
      <c r="L252" s="5" t="s">
        <v>582</v>
      </c>
      <c r="M252" s="5" t="s">
        <v>585</v>
      </c>
      <c r="N252" s="7" t="str">
        <f t="shared" si="15"/>
        <v>2024</v>
      </c>
      <c r="O252" s="7" t="str">
        <f t="shared" si="16"/>
        <v>Dec</v>
      </c>
      <c r="P252" s="7" t="str">
        <f t="shared" si="17"/>
        <v>Sun</v>
      </c>
      <c r="Q252" t="str">
        <f t="shared" si="18"/>
        <v>Discounted</v>
      </c>
      <c r="R252" t="str">
        <f t="shared" si="19"/>
        <v>No Action</v>
      </c>
    </row>
    <row r="253" spans="1:18" x14ac:dyDescent="0.25">
      <c r="A253" s="4">
        <v>1252</v>
      </c>
      <c r="B253" s="5" t="s">
        <v>264</v>
      </c>
      <c r="C253" s="5" t="s">
        <v>513</v>
      </c>
      <c r="D253" s="5" t="s">
        <v>555</v>
      </c>
      <c r="E253" s="5" t="s">
        <v>570</v>
      </c>
      <c r="F253" s="5" t="s">
        <v>575</v>
      </c>
      <c r="G253" s="4">
        <v>19</v>
      </c>
      <c r="H253" s="4">
        <v>15</v>
      </c>
      <c r="I253" s="4">
        <v>10</v>
      </c>
      <c r="J253" s="6">
        <v>45896</v>
      </c>
      <c r="K253" t="s">
        <v>579</v>
      </c>
      <c r="L253" s="5" t="s">
        <v>582</v>
      </c>
      <c r="M253" s="5" t="s">
        <v>585</v>
      </c>
      <c r="N253" s="7" t="str">
        <f t="shared" si="15"/>
        <v>2025</v>
      </c>
      <c r="O253" s="7" t="str">
        <f t="shared" si="16"/>
        <v>Aug</v>
      </c>
      <c r="P253" s="7" t="str">
        <f t="shared" si="17"/>
        <v>Wed</v>
      </c>
      <c r="Q253" t="str">
        <f t="shared" si="18"/>
        <v>Discounted</v>
      </c>
      <c r="R253" t="str">
        <f t="shared" si="19"/>
        <v>No Action</v>
      </c>
    </row>
    <row r="254" spans="1:18" x14ac:dyDescent="0.25">
      <c r="A254" s="4">
        <v>1253</v>
      </c>
      <c r="B254" s="5" t="s">
        <v>265</v>
      </c>
      <c r="C254" s="5" t="s">
        <v>511</v>
      </c>
      <c r="D254" s="5" t="s">
        <v>524</v>
      </c>
      <c r="E254" s="5" t="s">
        <v>572</v>
      </c>
      <c r="F254" s="5" t="s">
        <v>577</v>
      </c>
      <c r="G254" s="4">
        <v>6</v>
      </c>
      <c r="H254" s="4">
        <v>61</v>
      </c>
      <c r="I254" s="4">
        <v>10</v>
      </c>
      <c r="J254" s="6">
        <v>45982</v>
      </c>
      <c r="K254" t="s">
        <v>579</v>
      </c>
      <c r="L254" s="5" t="s">
        <v>583</v>
      </c>
      <c r="M254" s="5" t="s">
        <v>586</v>
      </c>
      <c r="N254" s="7" t="str">
        <f t="shared" si="15"/>
        <v>2025</v>
      </c>
      <c r="O254" s="7" t="str">
        <f t="shared" si="16"/>
        <v>Nov</v>
      </c>
      <c r="P254" s="7" t="str">
        <f t="shared" si="17"/>
        <v>Fri</v>
      </c>
      <c r="Q254" t="str">
        <f t="shared" si="18"/>
        <v>Discounted</v>
      </c>
      <c r="R254" t="str">
        <f t="shared" si="19"/>
        <v>Check Return Policy</v>
      </c>
    </row>
    <row r="255" spans="1:18" x14ac:dyDescent="0.25">
      <c r="A255" s="4">
        <v>1254</v>
      </c>
      <c r="B255" s="5" t="s">
        <v>266</v>
      </c>
      <c r="C255" s="5" t="s">
        <v>514</v>
      </c>
      <c r="D255" s="5" t="s">
        <v>555</v>
      </c>
      <c r="E255" s="5" t="s">
        <v>573</v>
      </c>
      <c r="F255" s="5" t="s">
        <v>576</v>
      </c>
      <c r="G255" s="4">
        <v>8</v>
      </c>
      <c r="H255" s="4">
        <v>355</v>
      </c>
      <c r="I255" s="4">
        <v>15</v>
      </c>
      <c r="J255" s="6">
        <v>45919</v>
      </c>
      <c r="K255" t="s">
        <v>580</v>
      </c>
      <c r="L255" s="5" t="s">
        <v>582</v>
      </c>
      <c r="M255" s="5" t="s">
        <v>586</v>
      </c>
      <c r="N255" s="7" t="str">
        <f t="shared" si="15"/>
        <v>2025</v>
      </c>
      <c r="O255" s="7" t="str">
        <f t="shared" si="16"/>
        <v>Sep</v>
      </c>
      <c r="P255" s="7" t="str">
        <f t="shared" si="17"/>
        <v>Fri</v>
      </c>
      <c r="Q255" t="str">
        <f t="shared" si="18"/>
        <v>Discounted</v>
      </c>
      <c r="R255" t="str">
        <f t="shared" si="19"/>
        <v>Check Return Policy</v>
      </c>
    </row>
    <row r="256" spans="1:18" x14ac:dyDescent="0.25">
      <c r="A256" s="4">
        <v>1255</v>
      </c>
      <c r="B256" s="5" t="s">
        <v>267</v>
      </c>
      <c r="C256" s="5" t="s">
        <v>513</v>
      </c>
      <c r="D256" s="5" t="s">
        <v>540</v>
      </c>
      <c r="E256" s="5" t="s">
        <v>571</v>
      </c>
      <c r="F256" s="5" t="s">
        <v>577</v>
      </c>
      <c r="G256" s="4">
        <v>11</v>
      </c>
      <c r="H256" s="4">
        <v>237</v>
      </c>
      <c r="I256" s="4">
        <v>0</v>
      </c>
      <c r="J256" s="6">
        <v>45852</v>
      </c>
      <c r="K256" t="s">
        <v>581</v>
      </c>
      <c r="L256" s="5" t="s">
        <v>584</v>
      </c>
      <c r="M256" s="5" t="s">
        <v>585</v>
      </c>
      <c r="N256" s="7" t="str">
        <f t="shared" si="15"/>
        <v>2025</v>
      </c>
      <c r="O256" s="7" t="str">
        <f t="shared" si="16"/>
        <v>Jul</v>
      </c>
      <c r="P256" s="7" t="str">
        <f t="shared" si="17"/>
        <v>Mon</v>
      </c>
      <c r="Q256" t="str">
        <f t="shared" si="18"/>
        <v>Full Price</v>
      </c>
      <c r="R256" t="str">
        <f t="shared" si="19"/>
        <v>No Action</v>
      </c>
    </row>
    <row r="257" spans="1:18" x14ac:dyDescent="0.25">
      <c r="A257" s="4">
        <v>1256</v>
      </c>
      <c r="B257" s="5" t="s">
        <v>268</v>
      </c>
      <c r="C257" s="5" t="s">
        <v>514</v>
      </c>
      <c r="D257" s="5" t="s">
        <v>539</v>
      </c>
      <c r="E257" s="5" t="s">
        <v>572</v>
      </c>
      <c r="F257" s="5" t="s">
        <v>577</v>
      </c>
      <c r="G257" s="4">
        <v>5</v>
      </c>
      <c r="H257" s="4">
        <v>230</v>
      </c>
      <c r="I257" s="4">
        <v>0</v>
      </c>
      <c r="J257" s="6">
        <v>45888</v>
      </c>
      <c r="K257" t="s">
        <v>581</v>
      </c>
      <c r="L257" s="5" t="s">
        <v>582</v>
      </c>
      <c r="M257" s="5" t="s">
        <v>586</v>
      </c>
      <c r="N257" s="7" t="str">
        <f t="shared" si="15"/>
        <v>2025</v>
      </c>
      <c r="O257" s="7" t="str">
        <f t="shared" si="16"/>
        <v>Aug</v>
      </c>
      <c r="P257" s="7" t="str">
        <f t="shared" si="17"/>
        <v>Tue</v>
      </c>
      <c r="Q257" t="str">
        <f t="shared" si="18"/>
        <v>Full Price</v>
      </c>
      <c r="R257" t="str">
        <f t="shared" si="19"/>
        <v>Check Return Policy</v>
      </c>
    </row>
    <row r="258" spans="1:18" x14ac:dyDescent="0.25">
      <c r="A258" s="4">
        <v>1257</v>
      </c>
      <c r="B258" s="5" t="s">
        <v>269</v>
      </c>
      <c r="C258" s="5" t="s">
        <v>511</v>
      </c>
      <c r="D258" s="5" t="s">
        <v>530</v>
      </c>
      <c r="E258" s="5" t="s">
        <v>573</v>
      </c>
      <c r="F258" s="5" t="s">
        <v>576</v>
      </c>
      <c r="G258" s="4">
        <v>4</v>
      </c>
      <c r="H258" s="4">
        <v>353</v>
      </c>
      <c r="I258" s="4">
        <v>5</v>
      </c>
      <c r="J258" s="6">
        <v>45969</v>
      </c>
      <c r="K258" t="s">
        <v>579</v>
      </c>
      <c r="L258" s="5" t="s">
        <v>582</v>
      </c>
      <c r="M258" s="5" t="s">
        <v>585</v>
      </c>
      <c r="N258" s="7" t="str">
        <f t="shared" si="15"/>
        <v>2025</v>
      </c>
      <c r="O258" s="7" t="str">
        <f t="shared" si="16"/>
        <v>Nov</v>
      </c>
      <c r="P258" s="7" t="str">
        <f t="shared" si="17"/>
        <v>Sat</v>
      </c>
      <c r="Q258" t="str">
        <f t="shared" si="18"/>
        <v>Discounted</v>
      </c>
      <c r="R258" t="str">
        <f t="shared" si="19"/>
        <v>No Action</v>
      </c>
    </row>
    <row r="259" spans="1:18" x14ac:dyDescent="0.25">
      <c r="A259" s="4">
        <v>1258</v>
      </c>
      <c r="B259" s="5" t="s">
        <v>270</v>
      </c>
      <c r="C259" s="5" t="s">
        <v>514</v>
      </c>
      <c r="D259" s="5" t="s">
        <v>557</v>
      </c>
      <c r="E259" s="5" t="s">
        <v>573</v>
      </c>
      <c r="F259" s="5" t="s">
        <v>576</v>
      </c>
      <c r="G259" s="4">
        <v>1</v>
      </c>
      <c r="H259" s="4">
        <v>271</v>
      </c>
      <c r="I259" s="4">
        <v>0</v>
      </c>
      <c r="J259" s="6">
        <v>45992</v>
      </c>
      <c r="K259" t="s">
        <v>579</v>
      </c>
      <c r="L259" s="5" t="s">
        <v>583</v>
      </c>
      <c r="M259" s="5" t="s">
        <v>586</v>
      </c>
      <c r="N259" s="7" t="str">
        <f t="shared" ref="N259:N322" si="20">TEXT(J259,"YYYY")</f>
        <v>2025</v>
      </c>
      <c r="O259" s="7" t="str">
        <f t="shared" ref="O259:O322" si="21">TEXT(J259,"mmm")</f>
        <v>Dec</v>
      </c>
      <c r="P259" s="7" t="str">
        <f t="shared" ref="P259:P322" si="22">TEXT(J259,"ddd")</f>
        <v>Mon</v>
      </c>
      <c r="Q259" t="str">
        <f t="shared" ref="Q259:Q322" si="23">IF(I259&gt;0,"Discounted","Full Price")</f>
        <v>Full Price</v>
      </c>
      <c r="R259" t="str">
        <f t="shared" ref="R259:R322" si="24">IF(M259="Yes","Check Return Policy","No Action")</f>
        <v>Check Return Policy</v>
      </c>
    </row>
    <row r="260" spans="1:18" x14ac:dyDescent="0.25">
      <c r="A260" s="4">
        <v>1259</v>
      </c>
      <c r="B260" s="5" t="s">
        <v>271</v>
      </c>
      <c r="C260" s="5" t="s">
        <v>512</v>
      </c>
      <c r="D260" s="5" t="s">
        <v>527</v>
      </c>
      <c r="E260" s="5" t="s">
        <v>566</v>
      </c>
      <c r="F260" s="5" t="s">
        <v>576</v>
      </c>
      <c r="G260" s="4">
        <v>4</v>
      </c>
      <c r="H260" s="4">
        <v>143</v>
      </c>
      <c r="I260" s="4">
        <v>5</v>
      </c>
      <c r="J260" s="6">
        <v>45834</v>
      </c>
      <c r="K260" t="s">
        <v>579</v>
      </c>
      <c r="L260" s="5" t="s">
        <v>582</v>
      </c>
      <c r="M260" s="5" t="s">
        <v>586</v>
      </c>
      <c r="N260" s="7" t="str">
        <f t="shared" si="20"/>
        <v>2025</v>
      </c>
      <c r="O260" s="7" t="str">
        <f t="shared" si="21"/>
        <v>Jun</v>
      </c>
      <c r="P260" s="7" t="str">
        <f t="shared" si="22"/>
        <v>Thu</v>
      </c>
      <c r="Q260" t="str">
        <f t="shared" si="23"/>
        <v>Discounted</v>
      </c>
      <c r="R260" t="str">
        <f t="shared" si="24"/>
        <v>Check Return Policy</v>
      </c>
    </row>
    <row r="261" spans="1:18" x14ac:dyDescent="0.25">
      <c r="A261" s="4">
        <v>1260</v>
      </c>
      <c r="B261" s="5" t="s">
        <v>272</v>
      </c>
      <c r="C261" s="5" t="s">
        <v>512</v>
      </c>
      <c r="D261" s="5" t="s">
        <v>519</v>
      </c>
      <c r="E261" s="5" t="s">
        <v>569</v>
      </c>
      <c r="F261" s="5" t="s">
        <v>576</v>
      </c>
      <c r="G261" s="4">
        <v>15</v>
      </c>
      <c r="H261" s="4">
        <v>858</v>
      </c>
      <c r="I261" s="4">
        <v>10</v>
      </c>
      <c r="J261" s="6">
        <v>45761</v>
      </c>
      <c r="K261" t="s">
        <v>578</v>
      </c>
      <c r="L261" s="5" t="s">
        <v>582</v>
      </c>
      <c r="M261" s="5" t="s">
        <v>586</v>
      </c>
      <c r="N261" s="7" t="str">
        <f t="shared" si="20"/>
        <v>2025</v>
      </c>
      <c r="O261" s="7" t="str">
        <f t="shared" si="21"/>
        <v>Apr</v>
      </c>
      <c r="P261" s="7" t="str">
        <f t="shared" si="22"/>
        <v>Mon</v>
      </c>
      <c r="Q261" t="str">
        <f t="shared" si="23"/>
        <v>Discounted</v>
      </c>
      <c r="R261" t="str">
        <f t="shared" si="24"/>
        <v>Check Return Policy</v>
      </c>
    </row>
    <row r="262" spans="1:18" x14ac:dyDescent="0.25">
      <c r="A262" s="4">
        <v>1261</v>
      </c>
      <c r="B262" s="5" t="s">
        <v>273</v>
      </c>
      <c r="C262" s="5" t="s">
        <v>511</v>
      </c>
      <c r="D262" s="5" t="s">
        <v>535</v>
      </c>
      <c r="E262" s="5" t="s">
        <v>566</v>
      </c>
      <c r="F262" s="5" t="s">
        <v>576</v>
      </c>
      <c r="G262" s="4">
        <v>7</v>
      </c>
      <c r="H262" s="4">
        <v>430</v>
      </c>
      <c r="I262" s="4">
        <v>15</v>
      </c>
      <c r="J262" s="6">
        <v>45790</v>
      </c>
      <c r="K262" t="s">
        <v>580</v>
      </c>
      <c r="L262" s="5" t="s">
        <v>583</v>
      </c>
      <c r="M262" s="5" t="s">
        <v>585</v>
      </c>
      <c r="N262" s="7" t="str">
        <f t="shared" si="20"/>
        <v>2025</v>
      </c>
      <c r="O262" s="7" t="str">
        <f t="shared" si="21"/>
        <v>May</v>
      </c>
      <c r="P262" s="7" t="str">
        <f t="shared" si="22"/>
        <v>Tue</v>
      </c>
      <c r="Q262" t="str">
        <f t="shared" si="23"/>
        <v>Discounted</v>
      </c>
      <c r="R262" t="str">
        <f t="shared" si="24"/>
        <v>No Action</v>
      </c>
    </row>
    <row r="263" spans="1:18" x14ac:dyDescent="0.25">
      <c r="A263" s="4">
        <v>1262</v>
      </c>
      <c r="B263" s="5" t="s">
        <v>274</v>
      </c>
      <c r="C263" s="5" t="s">
        <v>514</v>
      </c>
      <c r="D263" s="5" t="s">
        <v>517</v>
      </c>
      <c r="E263" s="5" t="s">
        <v>565</v>
      </c>
      <c r="F263" s="5" t="s">
        <v>575</v>
      </c>
      <c r="G263" s="4">
        <v>16</v>
      </c>
      <c r="H263" s="4">
        <v>3</v>
      </c>
      <c r="I263" s="4">
        <v>15</v>
      </c>
      <c r="J263" s="6">
        <v>45697</v>
      </c>
      <c r="K263" t="s">
        <v>578</v>
      </c>
      <c r="L263" s="5" t="s">
        <v>584</v>
      </c>
      <c r="M263" s="5" t="s">
        <v>586</v>
      </c>
      <c r="N263" s="7" t="str">
        <f t="shared" si="20"/>
        <v>2025</v>
      </c>
      <c r="O263" s="7" t="str">
        <f t="shared" si="21"/>
        <v>Feb</v>
      </c>
      <c r="P263" s="7" t="str">
        <f t="shared" si="22"/>
        <v>Sun</v>
      </c>
      <c r="Q263" t="str">
        <f t="shared" si="23"/>
        <v>Discounted</v>
      </c>
      <c r="R263" t="str">
        <f t="shared" si="24"/>
        <v>Check Return Policy</v>
      </c>
    </row>
    <row r="264" spans="1:18" x14ac:dyDescent="0.25">
      <c r="A264" s="4">
        <v>1263</v>
      </c>
      <c r="B264" s="5" t="s">
        <v>275</v>
      </c>
      <c r="C264" s="5" t="s">
        <v>511</v>
      </c>
      <c r="D264" s="5" t="s">
        <v>561</v>
      </c>
      <c r="E264" s="5" t="s">
        <v>565</v>
      </c>
      <c r="F264" s="5" t="s">
        <v>575</v>
      </c>
      <c r="G264" s="4">
        <v>17</v>
      </c>
      <c r="H264" s="4">
        <v>7</v>
      </c>
      <c r="I264" s="4">
        <v>15</v>
      </c>
      <c r="J264" s="6">
        <v>45880</v>
      </c>
      <c r="K264" t="s">
        <v>579</v>
      </c>
      <c r="L264" s="5" t="s">
        <v>584</v>
      </c>
      <c r="M264" s="5" t="s">
        <v>586</v>
      </c>
      <c r="N264" s="7" t="str">
        <f t="shared" si="20"/>
        <v>2025</v>
      </c>
      <c r="O264" s="7" t="str">
        <f t="shared" si="21"/>
        <v>Aug</v>
      </c>
      <c r="P264" s="7" t="str">
        <f t="shared" si="22"/>
        <v>Mon</v>
      </c>
      <c r="Q264" t="str">
        <f t="shared" si="23"/>
        <v>Discounted</v>
      </c>
      <c r="R264" t="str">
        <f t="shared" si="24"/>
        <v>Check Return Policy</v>
      </c>
    </row>
    <row r="265" spans="1:18" x14ac:dyDescent="0.25">
      <c r="A265" s="4">
        <v>1264</v>
      </c>
      <c r="B265" s="5" t="s">
        <v>276</v>
      </c>
      <c r="C265" s="5" t="s">
        <v>514</v>
      </c>
      <c r="D265" s="5" t="s">
        <v>532</v>
      </c>
      <c r="E265" s="5" t="s">
        <v>571</v>
      </c>
      <c r="F265" s="5" t="s">
        <v>577</v>
      </c>
      <c r="G265" s="4">
        <v>5</v>
      </c>
      <c r="H265" s="4">
        <v>247</v>
      </c>
      <c r="I265" s="4">
        <v>0</v>
      </c>
      <c r="J265" s="6">
        <v>45784</v>
      </c>
      <c r="K265" t="s">
        <v>579</v>
      </c>
      <c r="L265" s="5" t="s">
        <v>582</v>
      </c>
      <c r="M265" s="5" t="s">
        <v>586</v>
      </c>
      <c r="N265" s="7" t="str">
        <f t="shared" si="20"/>
        <v>2025</v>
      </c>
      <c r="O265" s="7" t="str">
        <f t="shared" si="21"/>
        <v>May</v>
      </c>
      <c r="P265" s="7" t="str">
        <f t="shared" si="22"/>
        <v>Wed</v>
      </c>
      <c r="Q265" t="str">
        <f t="shared" si="23"/>
        <v>Full Price</v>
      </c>
      <c r="R265" t="str">
        <f t="shared" si="24"/>
        <v>Check Return Policy</v>
      </c>
    </row>
    <row r="266" spans="1:18" x14ac:dyDescent="0.25">
      <c r="A266" s="4">
        <v>1265</v>
      </c>
      <c r="B266" s="5" t="s">
        <v>277</v>
      </c>
      <c r="C266" s="5" t="s">
        <v>513</v>
      </c>
      <c r="D266" s="5" t="s">
        <v>543</v>
      </c>
      <c r="E266" s="5" t="s">
        <v>566</v>
      </c>
      <c r="F266" s="5" t="s">
        <v>576</v>
      </c>
      <c r="G266" s="4">
        <v>6</v>
      </c>
      <c r="H266" s="4">
        <v>401</v>
      </c>
      <c r="I266" s="4">
        <v>15</v>
      </c>
      <c r="J266" s="6">
        <v>45975</v>
      </c>
      <c r="K266" t="s">
        <v>579</v>
      </c>
      <c r="L266" s="5" t="s">
        <v>583</v>
      </c>
      <c r="M266" s="5" t="s">
        <v>586</v>
      </c>
      <c r="N266" s="7" t="str">
        <f t="shared" si="20"/>
        <v>2025</v>
      </c>
      <c r="O266" s="7" t="str">
        <f t="shared" si="21"/>
        <v>Nov</v>
      </c>
      <c r="P266" s="7" t="str">
        <f t="shared" si="22"/>
        <v>Fri</v>
      </c>
      <c r="Q266" t="str">
        <f t="shared" si="23"/>
        <v>Discounted</v>
      </c>
      <c r="R266" t="str">
        <f t="shared" si="24"/>
        <v>Check Return Policy</v>
      </c>
    </row>
    <row r="267" spans="1:18" x14ac:dyDescent="0.25">
      <c r="A267" s="4">
        <v>1266</v>
      </c>
      <c r="B267" s="5" t="s">
        <v>278</v>
      </c>
      <c r="C267" s="5" t="s">
        <v>514</v>
      </c>
      <c r="D267" s="5" t="s">
        <v>553</v>
      </c>
      <c r="E267" s="5" t="s">
        <v>571</v>
      </c>
      <c r="F267" s="5" t="s">
        <v>577</v>
      </c>
      <c r="G267" s="4">
        <v>15</v>
      </c>
      <c r="H267" s="4">
        <v>167</v>
      </c>
      <c r="I267" s="4">
        <v>15</v>
      </c>
      <c r="J267" s="6">
        <v>45705</v>
      </c>
      <c r="K267" t="s">
        <v>580</v>
      </c>
      <c r="L267" s="5" t="s">
        <v>582</v>
      </c>
      <c r="M267" s="5" t="s">
        <v>585</v>
      </c>
      <c r="N267" s="7" t="str">
        <f t="shared" si="20"/>
        <v>2025</v>
      </c>
      <c r="O267" s="7" t="str">
        <f t="shared" si="21"/>
        <v>Feb</v>
      </c>
      <c r="P267" s="7" t="str">
        <f t="shared" si="22"/>
        <v>Mon</v>
      </c>
      <c r="Q267" t="str">
        <f t="shared" si="23"/>
        <v>Discounted</v>
      </c>
      <c r="R267" t="str">
        <f t="shared" si="24"/>
        <v>No Action</v>
      </c>
    </row>
    <row r="268" spans="1:18" x14ac:dyDescent="0.25">
      <c r="A268" s="4">
        <v>1267</v>
      </c>
      <c r="B268" s="5" t="s">
        <v>279</v>
      </c>
      <c r="C268" s="5" t="s">
        <v>512</v>
      </c>
      <c r="D268" s="5" t="s">
        <v>534</v>
      </c>
      <c r="E268" s="5" t="s">
        <v>574</v>
      </c>
      <c r="F268" s="5" t="s">
        <v>576</v>
      </c>
      <c r="G268" s="4">
        <v>16</v>
      </c>
      <c r="H268" s="4">
        <v>27</v>
      </c>
      <c r="I268" s="4">
        <v>10</v>
      </c>
      <c r="J268" s="6">
        <v>45813</v>
      </c>
      <c r="K268" t="s">
        <v>580</v>
      </c>
      <c r="L268" s="5" t="s">
        <v>584</v>
      </c>
      <c r="M268" s="5" t="s">
        <v>585</v>
      </c>
      <c r="N268" s="7" t="str">
        <f t="shared" si="20"/>
        <v>2025</v>
      </c>
      <c r="O268" s="7" t="str">
        <f t="shared" si="21"/>
        <v>Jun</v>
      </c>
      <c r="P268" s="7" t="str">
        <f t="shared" si="22"/>
        <v>Thu</v>
      </c>
      <c r="Q268" t="str">
        <f t="shared" si="23"/>
        <v>Discounted</v>
      </c>
      <c r="R268" t="str">
        <f t="shared" si="24"/>
        <v>No Action</v>
      </c>
    </row>
    <row r="269" spans="1:18" x14ac:dyDescent="0.25">
      <c r="A269" s="4">
        <v>1268</v>
      </c>
      <c r="B269" s="5" t="s">
        <v>280</v>
      </c>
      <c r="C269" s="5" t="s">
        <v>514</v>
      </c>
      <c r="D269" s="5" t="s">
        <v>535</v>
      </c>
      <c r="E269" s="5" t="s">
        <v>566</v>
      </c>
      <c r="F269" s="5" t="s">
        <v>576</v>
      </c>
      <c r="G269" s="4">
        <v>5</v>
      </c>
      <c r="H269" s="4">
        <v>439</v>
      </c>
      <c r="I269" s="4">
        <v>10</v>
      </c>
      <c r="J269" s="6">
        <v>45966</v>
      </c>
      <c r="K269" t="s">
        <v>581</v>
      </c>
      <c r="L269" s="5" t="s">
        <v>583</v>
      </c>
      <c r="M269" s="5" t="s">
        <v>586</v>
      </c>
      <c r="N269" s="7" t="str">
        <f t="shared" si="20"/>
        <v>2025</v>
      </c>
      <c r="O269" s="7" t="str">
        <f t="shared" si="21"/>
        <v>Nov</v>
      </c>
      <c r="P269" s="7" t="str">
        <f t="shared" si="22"/>
        <v>Wed</v>
      </c>
      <c r="Q269" t="str">
        <f t="shared" si="23"/>
        <v>Discounted</v>
      </c>
      <c r="R269" t="str">
        <f t="shared" si="24"/>
        <v>Check Return Policy</v>
      </c>
    </row>
    <row r="270" spans="1:18" x14ac:dyDescent="0.25">
      <c r="A270" s="4">
        <v>1269</v>
      </c>
      <c r="B270" s="5" t="s">
        <v>281</v>
      </c>
      <c r="C270" s="5" t="s">
        <v>512</v>
      </c>
      <c r="D270" s="5" t="s">
        <v>555</v>
      </c>
      <c r="E270" s="5" t="s">
        <v>571</v>
      </c>
      <c r="F270" s="5" t="s">
        <v>577</v>
      </c>
      <c r="G270" s="4">
        <v>6</v>
      </c>
      <c r="H270" s="4">
        <v>297</v>
      </c>
      <c r="I270" s="4">
        <v>5</v>
      </c>
      <c r="J270" s="6">
        <v>45981</v>
      </c>
      <c r="K270" t="s">
        <v>581</v>
      </c>
      <c r="L270" s="5" t="s">
        <v>582</v>
      </c>
      <c r="M270" s="5" t="s">
        <v>585</v>
      </c>
      <c r="N270" s="7" t="str">
        <f t="shared" si="20"/>
        <v>2025</v>
      </c>
      <c r="O270" s="7" t="str">
        <f t="shared" si="21"/>
        <v>Nov</v>
      </c>
      <c r="P270" s="7" t="str">
        <f t="shared" si="22"/>
        <v>Thu</v>
      </c>
      <c r="Q270" t="str">
        <f t="shared" si="23"/>
        <v>Discounted</v>
      </c>
      <c r="R270" t="str">
        <f t="shared" si="24"/>
        <v>No Action</v>
      </c>
    </row>
    <row r="271" spans="1:18" x14ac:dyDescent="0.25">
      <c r="A271" s="4">
        <v>1270</v>
      </c>
      <c r="B271" s="5" t="s">
        <v>282</v>
      </c>
      <c r="C271" s="5" t="s">
        <v>511</v>
      </c>
      <c r="D271" s="5" t="s">
        <v>560</v>
      </c>
      <c r="E271" s="5" t="s">
        <v>568</v>
      </c>
      <c r="F271" s="5" t="s">
        <v>577</v>
      </c>
      <c r="G271" s="4">
        <v>3</v>
      </c>
      <c r="H271" s="4">
        <v>242</v>
      </c>
      <c r="I271" s="4">
        <v>15</v>
      </c>
      <c r="J271" s="6">
        <v>45954</v>
      </c>
      <c r="K271" t="s">
        <v>579</v>
      </c>
      <c r="L271" s="5" t="s">
        <v>584</v>
      </c>
      <c r="M271" s="5" t="s">
        <v>586</v>
      </c>
      <c r="N271" s="7" t="str">
        <f t="shared" si="20"/>
        <v>2025</v>
      </c>
      <c r="O271" s="7" t="str">
        <f t="shared" si="21"/>
        <v>Oct</v>
      </c>
      <c r="P271" s="7" t="str">
        <f t="shared" si="22"/>
        <v>Fri</v>
      </c>
      <c r="Q271" t="str">
        <f t="shared" si="23"/>
        <v>Discounted</v>
      </c>
      <c r="R271" t="str">
        <f t="shared" si="24"/>
        <v>Check Return Policy</v>
      </c>
    </row>
    <row r="272" spans="1:18" x14ac:dyDescent="0.25">
      <c r="A272" s="4">
        <v>1271</v>
      </c>
      <c r="B272" s="5" t="s">
        <v>283</v>
      </c>
      <c r="C272" s="5" t="s">
        <v>513</v>
      </c>
      <c r="D272" s="5" t="s">
        <v>520</v>
      </c>
      <c r="E272" s="5" t="s">
        <v>567</v>
      </c>
      <c r="F272" s="5" t="s">
        <v>576</v>
      </c>
      <c r="G272" s="4">
        <v>6</v>
      </c>
      <c r="H272" s="4">
        <v>818</v>
      </c>
      <c r="I272" s="4">
        <v>15</v>
      </c>
      <c r="J272" s="6">
        <v>45936</v>
      </c>
      <c r="K272" t="s">
        <v>580</v>
      </c>
      <c r="L272" s="5" t="s">
        <v>582</v>
      </c>
      <c r="M272" s="5" t="s">
        <v>585</v>
      </c>
      <c r="N272" s="7" t="str">
        <f t="shared" si="20"/>
        <v>2025</v>
      </c>
      <c r="O272" s="7" t="str">
        <f t="shared" si="21"/>
        <v>Oct</v>
      </c>
      <c r="P272" s="7" t="str">
        <f t="shared" si="22"/>
        <v>Mon</v>
      </c>
      <c r="Q272" t="str">
        <f t="shared" si="23"/>
        <v>Discounted</v>
      </c>
      <c r="R272" t="str">
        <f t="shared" si="24"/>
        <v>No Action</v>
      </c>
    </row>
    <row r="273" spans="1:18" x14ac:dyDescent="0.25">
      <c r="A273" s="4">
        <v>1272</v>
      </c>
      <c r="B273" s="5" t="s">
        <v>284</v>
      </c>
      <c r="C273" s="5" t="s">
        <v>511</v>
      </c>
      <c r="D273" s="5" t="s">
        <v>527</v>
      </c>
      <c r="E273" s="5" t="s">
        <v>565</v>
      </c>
      <c r="F273" s="5" t="s">
        <v>575</v>
      </c>
      <c r="G273" s="4">
        <v>15</v>
      </c>
      <c r="H273" s="4">
        <v>2</v>
      </c>
      <c r="I273" s="4">
        <v>5</v>
      </c>
      <c r="J273" s="6">
        <v>45781</v>
      </c>
      <c r="K273" t="s">
        <v>580</v>
      </c>
      <c r="L273" s="5" t="s">
        <v>582</v>
      </c>
      <c r="M273" s="5" t="s">
        <v>585</v>
      </c>
      <c r="N273" s="7" t="str">
        <f t="shared" si="20"/>
        <v>2025</v>
      </c>
      <c r="O273" s="7" t="str">
        <f t="shared" si="21"/>
        <v>May</v>
      </c>
      <c r="P273" s="7" t="str">
        <f t="shared" si="22"/>
        <v>Sun</v>
      </c>
      <c r="Q273" t="str">
        <f t="shared" si="23"/>
        <v>Discounted</v>
      </c>
      <c r="R273" t="str">
        <f t="shared" si="24"/>
        <v>No Action</v>
      </c>
    </row>
    <row r="274" spans="1:18" x14ac:dyDescent="0.25">
      <c r="A274" s="4">
        <v>1273</v>
      </c>
      <c r="B274" s="5" t="s">
        <v>285</v>
      </c>
      <c r="C274" s="5" t="s">
        <v>512</v>
      </c>
      <c r="D274" s="5" t="s">
        <v>535</v>
      </c>
      <c r="E274" s="5" t="s">
        <v>574</v>
      </c>
      <c r="F274" s="5" t="s">
        <v>576</v>
      </c>
      <c r="G274" s="4">
        <v>17</v>
      </c>
      <c r="H274" s="4">
        <v>134</v>
      </c>
      <c r="I274" s="4">
        <v>0</v>
      </c>
      <c r="J274" s="6">
        <v>45767</v>
      </c>
      <c r="K274" t="s">
        <v>581</v>
      </c>
      <c r="L274" s="5" t="s">
        <v>582</v>
      </c>
      <c r="M274" s="5" t="s">
        <v>585</v>
      </c>
      <c r="N274" s="7" t="str">
        <f t="shared" si="20"/>
        <v>2025</v>
      </c>
      <c r="O274" s="7" t="str">
        <f t="shared" si="21"/>
        <v>Apr</v>
      </c>
      <c r="P274" s="7" t="str">
        <f t="shared" si="22"/>
        <v>Sun</v>
      </c>
      <c r="Q274" t="str">
        <f t="shared" si="23"/>
        <v>Full Price</v>
      </c>
      <c r="R274" t="str">
        <f t="shared" si="24"/>
        <v>No Action</v>
      </c>
    </row>
    <row r="275" spans="1:18" x14ac:dyDescent="0.25">
      <c r="A275" s="4">
        <v>1274</v>
      </c>
      <c r="B275" s="5" t="s">
        <v>286</v>
      </c>
      <c r="C275" s="5" t="s">
        <v>512</v>
      </c>
      <c r="D275" s="5" t="s">
        <v>559</v>
      </c>
      <c r="E275" s="5" t="s">
        <v>574</v>
      </c>
      <c r="F275" s="5" t="s">
        <v>576</v>
      </c>
      <c r="G275" s="4">
        <v>7</v>
      </c>
      <c r="H275" s="4">
        <v>32</v>
      </c>
      <c r="I275" s="4">
        <v>15</v>
      </c>
      <c r="J275" s="6">
        <v>45857</v>
      </c>
      <c r="K275" t="s">
        <v>580</v>
      </c>
      <c r="L275" s="5" t="s">
        <v>582</v>
      </c>
      <c r="M275" s="5" t="s">
        <v>585</v>
      </c>
      <c r="N275" s="7" t="str">
        <f t="shared" si="20"/>
        <v>2025</v>
      </c>
      <c r="O275" s="7" t="str">
        <f t="shared" si="21"/>
        <v>Jul</v>
      </c>
      <c r="P275" s="7" t="str">
        <f t="shared" si="22"/>
        <v>Sat</v>
      </c>
      <c r="Q275" t="str">
        <f t="shared" si="23"/>
        <v>Discounted</v>
      </c>
      <c r="R275" t="str">
        <f t="shared" si="24"/>
        <v>No Action</v>
      </c>
    </row>
    <row r="276" spans="1:18" x14ac:dyDescent="0.25">
      <c r="A276" s="4">
        <v>1275</v>
      </c>
      <c r="B276" s="5" t="s">
        <v>287</v>
      </c>
      <c r="C276" s="5" t="s">
        <v>511</v>
      </c>
      <c r="D276" s="5" t="s">
        <v>534</v>
      </c>
      <c r="E276" s="5" t="s">
        <v>569</v>
      </c>
      <c r="F276" s="5" t="s">
        <v>576</v>
      </c>
      <c r="G276" s="4">
        <v>10</v>
      </c>
      <c r="H276" s="4">
        <v>450</v>
      </c>
      <c r="I276" s="4">
        <v>10</v>
      </c>
      <c r="J276" s="6">
        <v>45986</v>
      </c>
      <c r="K276" t="s">
        <v>580</v>
      </c>
      <c r="L276" s="5" t="s">
        <v>583</v>
      </c>
      <c r="M276" s="5" t="s">
        <v>586</v>
      </c>
      <c r="N276" s="7" t="str">
        <f t="shared" si="20"/>
        <v>2025</v>
      </c>
      <c r="O276" s="7" t="str">
        <f t="shared" si="21"/>
        <v>Nov</v>
      </c>
      <c r="P276" s="7" t="str">
        <f t="shared" si="22"/>
        <v>Tue</v>
      </c>
      <c r="Q276" t="str">
        <f t="shared" si="23"/>
        <v>Discounted</v>
      </c>
      <c r="R276" t="str">
        <f t="shared" si="24"/>
        <v>Check Return Policy</v>
      </c>
    </row>
    <row r="277" spans="1:18" x14ac:dyDescent="0.25">
      <c r="A277" s="4">
        <v>1276</v>
      </c>
      <c r="B277" s="5" t="s">
        <v>288</v>
      </c>
      <c r="C277" s="5" t="s">
        <v>513</v>
      </c>
      <c r="D277" s="5" t="s">
        <v>560</v>
      </c>
      <c r="E277" s="5" t="s">
        <v>570</v>
      </c>
      <c r="F277" s="5" t="s">
        <v>575</v>
      </c>
      <c r="G277" s="4">
        <v>8</v>
      </c>
      <c r="H277" s="4">
        <v>11</v>
      </c>
      <c r="I277" s="4">
        <v>15</v>
      </c>
      <c r="J277" s="6">
        <v>45801</v>
      </c>
      <c r="K277" t="s">
        <v>579</v>
      </c>
      <c r="L277" s="5" t="s">
        <v>583</v>
      </c>
      <c r="M277" s="5" t="s">
        <v>586</v>
      </c>
      <c r="N277" s="7" t="str">
        <f t="shared" si="20"/>
        <v>2025</v>
      </c>
      <c r="O277" s="7" t="str">
        <f t="shared" si="21"/>
        <v>May</v>
      </c>
      <c r="P277" s="7" t="str">
        <f t="shared" si="22"/>
        <v>Sat</v>
      </c>
      <c r="Q277" t="str">
        <f t="shared" si="23"/>
        <v>Discounted</v>
      </c>
      <c r="R277" t="str">
        <f t="shared" si="24"/>
        <v>Check Return Policy</v>
      </c>
    </row>
    <row r="278" spans="1:18" x14ac:dyDescent="0.25">
      <c r="A278" s="4">
        <v>1277</v>
      </c>
      <c r="B278" s="5" t="s">
        <v>289</v>
      </c>
      <c r="C278" s="5" t="s">
        <v>514</v>
      </c>
      <c r="D278" s="5" t="s">
        <v>555</v>
      </c>
      <c r="E278" s="5" t="s">
        <v>566</v>
      </c>
      <c r="F278" s="5" t="s">
        <v>576</v>
      </c>
      <c r="G278" s="4">
        <v>6</v>
      </c>
      <c r="H278" s="4">
        <v>153</v>
      </c>
      <c r="I278" s="4">
        <v>10</v>
      </c>
      <c r="J278" s="6">
        <v>46018</v>
      </c>
      <c r="K278" t="s">
        <v>581</v>
      </c>
      <c r="L278" s="5" t="s">
        <v>582</v>
      </c>
      <c r="M278" s="5" t="s">
        <v>586</v>
      </c>
      <c r="N278" s="7" t="str">
        <f t="shared" si="20"/>
        <v>2025</v>
      </c>
      <c r="O278" s="7" t="str">
        <f t="shared" si="21"/>
        <v>Dec</v>
      </c>
      <c r="P278" s="7" t="str">
        <f t="shared" si="22"/>
        <v>Sat</v>
      </c>
      <c r="Q278" t="str">
        <f t="shared" si="23"/>
        <v>Discounted</v>
      </c>
      <c r="R278" t="str">
        <f t="shared" si="24"/>
        <v>Check Return Policy</v>
      </c>
    </row>
    <row r="279" spans="1:18" x14ac:dyDescent="0.25">
      <c r="A279" s="4">
        <v>1278</v>
      </c>
      <c r="B279" s="5" t="s">
        <v>290</v>
      </c>
      <c r="C279" s="5" t="s">
        <v>514</v>
      </c>
      <c r="D279" s="5" t="s">
        <v>519</v>
      </c>
      <c r="E279" s="5" t="s">
        <v>566</v>
      </c>
      <c r="F279" s="5" t="s">
        <v>576</v>
      </c>
      <c r="G279" s="4">
        <v>12</v>
      </c>
      <c r="H279" s="4">
        <v>226</v>
      </c>
      <c r="I279" s="4">
        <v>10</v>
      </c>
      <c r="J279" s="6">
        <v>46015</v>
      </c>
      <c r="K279" t="s">
        <v>578</v>
      </c>
      <c r="L279" s="5" t="s">
        <v>583</v>
      </c>
      <c r="M279" s="5" t="s">
        <v>586</v>
      </c>
      <c r="N279" s="7" t="str">
        <f t="shared" si="20"/>
        <v>2025</v>
      </c>
      <c r="O279" s="7" t="str">
        <f t="shared" si="21"/>
        <v>Dec</v>
      </c>
      <c r="P279" s="7" t="str">
        <f t="shared" si="22"/>
        <v>Wed</v>
      </c>
      <c r="Q279" t="str">
        <f t="shared" si="23"/>
        <v>Discounted</v>
      </c>
      <c r="R279" t="str">
        <f t="shared" si="24"/>
        <v>Check Return Policy</v>
      </c>
    </row>
    <row r="280" spans="1:18" x14ac:dyDescent="0.25">
      <c r="A280" s="4">
        <v>1279</v>
      </c>
      <c r="B280" s="5" t="s">
        <v>291</v>
      </c>
      <c r="C280" s="5" t="s">
        <v>512</v>
      </c>
      <c r="D280" s="5" t="s">
        <v>553</v>
      </c>
      <c r="E280" s="5" t="s">
        <v>572</v>
      </c>
      <c r="F280" s="5" t="s">
        <v>577</v>
      </c>
      <c r="G280" s="4">
        <v>7</v>
      </c>
      <c r="H280" s="4">
        <v>200</v>
      </c>
      <c r="I280" s="4">
        <v>0</v>
      </c>
      <c r="J280" s="6">
        <v>45813</v>
      </c>
      <c r="K280" t="s">
        <v>580</v>
      </c>
      <c r="L280" s="5" t="s">
        <v>582</v>
      </c>
      <c r="M280" s="5" t="s">
        <v>585</v>
      </c>
      <c r="N280" s="7" t="str">
        <f t="shared" si="20"/>
        <v>2025</v>
      </c>
      <c r="O280" s="7" t="str">
        <f t="shared" si="21"/>
        <v>Jun</v>
      </c>
      <c r="P280" s="7" t="str">
        <f t="shared" si="22"/>
        <v>Thu</v>
      </c>
      <c r="Q280" t="str">
        <f t="shared" si="23"/>
        <v>Full Price</v>
      </c>
      <c r="R280" t="str">
        <f t="shared" si="24"/>
        <v>No Action</v>
      </c>
    </row>
    <row r="281" spans="1:18" x14ac:dyDescent="0.25">
      <c r="A281" s="4">
        <v>1280</v>
      </c>
      <c r="B281" s="5" t="s">
        <v>292</v>
      </c>
      <c r="C281" s="5" t="s">
        <v>514</v>
      </c>
      <c r="D281" s="5" t="s">
        <v>543</v>
      </c>
      <c r="E281" s="5" t="s">
        <v>567</v>
      </c>
      <c r="F281" s="5" t="s">
        <v>576</v>
      </c>
      <c r="G281" s="4">
        <v>4</v>
      </c>
      <c r="H281" s="4">
        <v>928</v>
      </c>
      <c r="I281" s="4">
        <v>5</v>
      </c>
      <c r="J281" s="6">
        <v>45758</v>
      </c>
      <c r="K281" t="s">
        <v>581</v>
      </c>
      <c r="L281" s="5" t="s">
        <v>583</v>
      </c>
      <c r="M281" s="5" t="s">
        <v>585</v>
      </c>
      <c r="N281" s="7" t="str">
        <f t="shared" si="20"/>
        <v>2025</v>
      </c>
      <c r="O281" s="7" t="str">
        <f t="shared" si="21"/>
        <v>Apr</v>
      </c>
      <c r="P281" s="7" t="str">
        <f t="shared" si="22"/>
        <v>Fri</v>
      </c>
      <c r="Q281" t="str">
        <f t="shared" si="23"/>
        <v>Discounted</v>
      </c>
      <c r="R281" t="str">
        <f t="shared" si="24"/>
        <v>No Action</v>
      </c>
    </row>
    <row r="282" spans="1:18" x14ac:dyDescent="0.25">
      <c r="A282" s="4">
        <v>1281</v>
      </c>
      <c r="B282" s="5" t="s">
        <v>293</v>
      </c>
      <c r="C282" s="5" t="s">
        <v>513</v>
      </c>
      <c r="D282" s="5" t="s">
        <v>552</v>
      </c>
      <c r="E282" s="5" t="s">
        <v>568</v>
      </c>
      <c r="F282" s="5" t="s">
        <v>577</v>
      </c>
      <c r="G282" s="4">
        <v>8</v>
      </c>
      <c r="H282" s="4">
        <v>165</v>
      </c>
      <c r="I282" s="4">
        <v>0</v>
      </c>
      <c r="J282" s="6">
        <v>45923</v>
      </c>
      <c r="K282" t="s">
        <v>579</v>
      </c>
      <c r="L282" s="5" t="s">
        <v>584</v>
      </c>
      <c r="M282" s="5" t="s">
        <v>585</v>
      </c>
      <c r="N282" s="7" t="str">
        <f t="shared" si="20"/>
        <v>2025</v>
      </c>
      <c r="O282" s="7" t="str">
        <f t="shared" si="21"/>
        <v>Sep</v>
      </c>
      <c r="P282" s="7" t="str">
        <f t="shared" si="22"/>
        <v>Tue</v>
      </c>
      <c r="Q282" t="str">
        <f t="shared" si="23"/>
        <v>Full Price</v>
      </c>
      <c r="R282" t="str">
        <f t="shared" si="24"/>
        <v>No Action</v>
      </c>
    </row>
    <row r="283" spans="1:18" x14ac:dyDescent="0.25">
      <c r="A283" s="4">
        <v>1282</v>
      </c>
      <c r="B283" s="5" t="s">
        <v>294</v>
      </c>
      <c r="C283" s="5" t="s">
        <v>511</v>
      </c>
      <c r="D283" s="5" t="s">
        <v>557</v>
      </c>
      <c r="E283" s="5" t="s">
        <v>574</v>
      </c>
      <c r="F283" s="5" t="s">
        <v>576</v>
      </c>
      <c r="G283" s="4">
        <v>7</v>
      </c>
      <c r="H283" s="4">
        <v>138</v>
      </c>
      <c r="I283" s="4">
        <v>0</v>
      </c>
      <c r="J283" s="6">
        <v>45749</v>
      </c>
      <c r="K283" t="s">
        <v>579</v>
      </c>
      <c r="L283" s="5" t="s">
        <v>583</v>
      </c>
      <c r="M283" s="5" t="s">
        <v>586</v>
      </c>
      <c r="N283" s="7" t="str">
        <f t="shared" si="20"/>
        <v>2025</v>
      </c>
      <c r="O283" s="7" t="str">
        <f t="shared" si="21"/>
        <v>Apr</v>
      </c>
      <c r="P283" s="7" t="str">
        <f t="shared" si="22"/>
        <v>Wed</v>
      </c>
      <c r="Q283" t="str">
        <f t="shared" si="23"/>
        <v>Full Price</v>
      </c>
      <c r="R283" t="str">
        <f t="shared" si="24"/>
        <v>Check Return Policy</v>
      </c>
    </row>
    <row r="284" spans="1:18" x14ac:dyDescent="0.25">
      <c r="A284" s="4">
        <v>1283</v>
      </c>
      <c r="B284" s="5" t="s">
        <v>295</v>
      </c>
      <c r="C284" s="5" t="s">
        <v>511</v>
      </c>
      <c r="D284" s="5" t="s">
        <v>539</v>
      </c>
      <c r="E284" s="5" t="s">
        <v>566</v>
      </c>
      <c r="F284" s="5" t="s">
        <v>576</v>
      </c>
      <c r="G284" s="4">
        <v>7</v>
      </c>
      <c r="H284" s="4">
        <v>452</v>
      </c>
      <c r="I284" s="4">
        <v>0</v>
      </c>
      <c r="J284" s="6">
        <v>45811</v>
      </c>
      <c r="K284" t="s">
        <v>581</v>
      </c>
      <c r="L284" s="5" t="s">
        <v>583</v>
      </c>
      <c r="M284" s="5" t="s">
        <v>586</v>
      </c>
      <c r="N284" s="7" t="str">
        <f t="shared" si="20"/>
        <v>2025</v>
      </c>
      <c r="O284" s="7" t="str">
        <f t="shared" si="21"/>
        <v>Jun</v>
      </c>
      <c r="P284" s="7" t="str">
        <f t="shared" si="22"/>
        <v>Tue</v>
      </c>
      <c r="Q284" t="str">
        <f t="shared" si="23"/>
        <v>Full Price</v>
      </c>
      <c r="R284" t="str">
        <f t="shared" si="24"/>
        <v>Check Return Policy</v>
      </c>
    </row>
    <row r="285" spans="1:18" x14ac:dyDescent="0.25">
      <c r="A285" s="4">
        <v>1284</v>
      </c>
      <c r="B285" s="5" t="s">
        <v>296</v>
      </c>
      <c r="C285" s="5" t="s">
        <v>512</v>
      </c>
      <c r="D285" s="5" t="s">
        <v>563</v>
      </c>
      <c r="E285" s="5" t="s">
        <v>568</v>
      </c>
      <c r="F285" s="5" t="s">
        <v>577</v>
      </c>
      <c r="G285" s="4">
        <v>9</v>
      </c>
      <c r="H285" s="4">
        <v>195</v>
      </c>
      <c r="I285" s="4">
        <v>5</v>
      </c>
      <c r="J285" s="6">
        <v>45768</v>
      </c>
      <c r="K285" t="s">
        <v>578</v>
      </c>
      <c r="L285" s="5" t="s">
        <v>583</v>
      </c>
      <c r="M285" s="5" t="s">
        <v>586</v>
      </c>
      <c r="N285" s="7" t="str">
        <f t="shared" si="20"/>
        <v>2025</v>
      </c>
      <c r="O285" s="7" t="str">
        <f t="shared" si="21"/>
        <v>Apr</v>
      </c>
      <c r="P285" s="7" t="str">
        <f t="shared" si="22"/>
        <v>Mon</v>
      </c>
      <c r="Q285" t="str">
        <f t="shared" si="23"/>
        <v>Discounted</v>
      </c>
      <c r="R285" t="str">
        <f t="shared" si="24"/>
        <v>Check Return Policy</v>
      </c>
    </row>
    <row r="286" spans="1:18" x14ac:dyDescent="0.25">
      <c r="A286" s="4">
        <v>1285</v>
      </c>
      <c r="B286" s="5" t="s">
        <v>297</v>
      </c>
      <c r="C286" s="5" t="s">
        <v>511</v>
      </c>
      <c r="D286" s="5" t="s">
        <v>519</v>
      </c>
      <c r="E286" s="5" t="s">
        <v>569</v>
      </c>
      <c r="F286" s="5" t="s">
        <v>576</v>
      </c>
      <c r="G286" s="4">
        <v>3</v>
      </c>
      <c r="H286" s="4">
        <v>410</v>
      </c>
      <c r="I286" s="4">
        <v>10</v>
      </c>
      <c r="J286" s="6">
        <v>45781</v>
      </c>
      <c r="K286" t="s">
        <v>581</v>
      </c>
      <c r="L286" s="5" t="s">
        <v>582</v>
      </c>
      <c r="M286" s="5" t="s">
        <v>586</v>
      </c>
      <c r="N286" s="7" t="str">
        <f t="shared" si="20"/>
        <v>2025</v>
      </c>
      <c r="O286" s="7" t="str">
        <f t="shared" si="21"/>
        <v>May</v>
      </c>
      <c r="P286" s="7" t="str">
        <f t="shared" si="22"/>
        <v>Sun</v>
      </c>
      <c r="Q286" t="str">
        <f t="shared" si="23"/>
        <v>Discounted</v>
      </c>
      <c r="R286" t="str">
        <f t="shared" si="24"/>
        <v>Check Return Policy</v>
      </c>
    </row>
    <row r="287" spans="1:18" x14ac:dyDescent="0.25">
      <c r="A287" s="4">
        <v>1286</v>
      </c>
      <c r="B287" s="5" t="s">
        <v>298</v>
      </c>
      <c r="C287" s="5" t="s">
        <v>511</v>
      </c>
      <c r="D287" s="5" t="s">
        <v>538</v>
      </c>
      <c r="E287" s="5" t="s">
        <v>568</v>
      </c>
      <c r="F287" s="5" t="s">
        <v>577</v>
      </c>
      <c r="G287" s="4">
        <v>12</v>
      </c>
      <c r="H287" s="4">
        <v>410</v>
      </c>
      <c r="I287" s="4">
        <v>5</v>
      </c>
      <c r="J287" s="6">
        <v>45927</v>
      </c>
      <c r="K287" t="s">
        <v>581</v>
      </c>
      <c r="L287" s="5" t="s">
        <v>584</v>
      </c>
      <c r="M287" s="5" t="s">
        <v>586</v>
      </c>
      <c r="N287" s="7" t="str">
        <f t="shared" si="20"/>
        <v>2025</v>
      </c>
      <c r="O287" s="7" t="str">
        <f t="shared" si="21"/>
        <v>Sep</v>
      </c>
      <c r="P287" s="7" t="str">
        <f t="shared" si="22"/>
        <v>Sat</v>
      </c>
      <c r="Q287" t="str">
        <f t="shared" si="23"/>
        <v>Discounted</v>
      </c>
      <c r="R287" t="str">
        <f t="shared" si="24"/>
        <v>Check Return Policy</v>
      </c>
    </row>
    <row r="288" spans="1:18" x14ac:dyDescent="0.25">
      <c r="A288" s="4">
        <v>1287</v>
      </c>
      <c r="B288" s="5" t="s">
        <v>299</v>
      </c>
      <c r="C288" s="5" t="s">
        <v>512</v>
      </c>
      <c r="D288" s="5" t="s">
        <v>534</v>
      </c>
      <c r="E288" s="5" t="s">
        <v>573</v>
      </c>
      <c r="F288" s="5" t="s">
        <v>576</v>
      </c>
      <c r="G288" s="4">
        <v>19</v>
      </c>
      <c r="H288" s="4">
        <v>209</v>
      </c>
      <c r="I288" s="4">
        <v>10</v>
      </c>
      <c r="J288" s="6">
        <v>45736</v>
      </c>
      <c r="K288" t="s">
        <v>579</v>
      </c>
      <c r="L288" s="5" t="s">
        <v>582</v>
      </c>
      <c r="M288" s="5" t="s">
        <v>586</v>
      </c>
      <c r="N288" s="7" t="str">
        <f t="shared" si="20"/>
        <v>2025</v>
      </c>
      <c r="O288" s="7" t="str">
        <f t="shared" si="21"/>
        <v>Mar</v>
      </c>
      <c r="P288" s="7" t="str">
        <f t="shared" si="22"/>
        <v>Thu</v>
      </c>
      <c r="Q288" t="str">
        <f t="shared" si="23"/>
        <v>Discounted</v>
      </c>
      <c r="R288" t="str">
        <f t="shared" si="24"/>
        <v>Check Return Policy</v>
      </c>
    </row>
    <row r="289" spans="1:18" x14ac:dyDescent="0.25">
      <c r="A289" s="4">
        <v>1288</v>
      </c>
      <c r="B289" s="5" t="s">
        <v>300</v>
      </c>
      <c r="C289" s="5" t="s">
        <v>513</v>
      </c>
      <c r="D289" s="5" t="s">
        <v>558</v>
      </c>
      <c r="E289" s="5" t="s">
        <v>568</v>
      </c>
      <c r="F289" s="5" t="s">
        <v>577</v>
      </c>
      <c r="G289" s="4">
        <v>12</v>
      </c>
      <c r="H289" s="4">
        <v>249</v>
      </c>
      <c r="I289" s="4">
        <v>10</v>
      </c>
      <c r="J289" s="6">
        <v>45865</v>
      </c>
      <c r="K289" t="s">
        <v>581</v>
      </c>
      <c r="L289" s="5" t="s">
        <v>584</v>
      </c>
      <c r="M289" s="5" t="s">
        <v>586</v>
      </c>
      <c r="N289" s="7" t="str">
        <f t="shared" si="20"/>
        <v>2025</v>
      </c>
      <c r="O289" s="7" t="str">
        <f t="shared" si="21"/>
        <v>Jul</v>
      </c>
      <c r="P289" s="7" t="str">
        <f t="shared" si="22"/>
        <v>Sun</v>
      </c>
      <c r="Q289" t="str">
        <f t="shared" si="23"/>
        <v>Discounted</v>
      </c>
      <c r="R289" t="str">
        <f t="shared" si="24"/>
        <v>Check Return Policy</v>
      </c>
    </row>
    <row r="290" spans="1:18" x14ac:dyDescent="0.25">
      <c r="A290" s="4">
        <v>1289</v>
      </c>
      <c r="B290" s="5" t="s">
        <v>301</v>
      </c>
      <c r="C290" s="5" t="s">
        <v>514</v>
      </c>
      <c r="D290" s="5" t="s">
        <v>541</v>
      </c>
      <c r="E290" s="5" t="s">
        <v>571</v>
      </c>
      <c r="F290" s="5" t="s">
        <v>577</v>
      </c>
      <c r="G290" s="4">
        <v>15</v>
      </c>
      <c r="H290" s="4">
        <v>114</v>
      </c>
      <c r="I290" s="4">
        <v>5</v>
      </c>
      <c r="J290" s="6">
        <v>45912</v>
      </c>
      <c r="K290" t="s">
        <v>578</v>
      </c>
      <c r="L290" s="5" t="s">
        <v>583</v>
      </c>
      <c r="M290" s="5" t="s">
        <v>585</v>
      </c>
      <c r="N290" s="7" t="str">
        <f t="shared" si="20"/>
        <v>2025</v>
      </c>
      <c r="O290" s="7" t="str">
        <f t="shared" si="21"/>
        <v>Sep</v>
      </c>
      <c r="P290" s="7" t="str">
        <f t="shared" si="22"/>
        <v>Fri</v>
      </c>
      <c r="Q290" t="str">
        <f t="shared" si="23"/>
        <v>Discounted</v>
      </c>
      <c r="R290" t="str">
        <f t="shared" si="24"/>
        <v>No Action</v>
      </c>
    </row>
    <row r="291" spans="1:18" x14ac:dyDescent="0.25">
      <c r="A291" s="4">
        <v>1290</v>
      </c>
      <c r="B291" s="5" t="s">
        <v>302</v>
      </c>
      <c r="C291" s="5" t="s">
        <v>514</v>
      </c>
      <c r="D291" s="5" t="s">
        <v>535</v>
      </c>
      <c r="E291" s="5" t="s">
        <v>574</v>
      </c>
      <c r="F291" s="5" t="s">
        <v>576</v>
      </c>
      <c r="G291" s="4">
        <v>19</v>
      </c>
      <c r="H291" s="4">
        <v>49</v>
      </c>
      <c r="I291" s="4">
        <v>0</v>
      </c>
      <c r="J291" s="6">
        <v>45963</v>
      </c>
      <c r="K291" t="s">
        <v>578</v>
      </c>
      <c r="L291" s="5" t="s">
        <v>582</v>
      </c>
      <c r="M291" s="5" t="s">
        <v>586</v>
      </c>
      <c r="N291" s="7" t="str">
        <f t="shared" si="20"/>
        <v>2025</v>
      </c>
      <c r="O291" s="7" t="str">
        <f t="shared" si="21"/>
        <v>Nov</v>
      </c>
      <c r="P291" s="7" t="str">
        <f t="shared" si="22"/>
        <v>Sun</v>
      </c>
      <c r="Q291" t="str">
        <f t="shared" si="23"/>
        <v>Full Price</v>
      </c>
      <c r="R291" t="str">
        <f t="shared" si="24"/>
        <v>Check Return Policy</v>
      </c>
    </row>
    <row r="292" spans="1:18" x14ac:dyDescent="0.25">
      <c r="A292" s="4">
        <v>1291</v>
      </c>
      <c r="B292" s="5" t="s">
        <v>303</v>
      </c>
      <c r="C292" s="5" t="s">
        <v>514</v>
      </c>
      <c r="D292" s="5" t="s">
        <v>539</v>
      </c>
      <c r="E292" s="5" t="s">
        <v>573</v>
      </c>
      <c r="F292" s="5" t="s">
        <v>576</v>
      </c>
      <c r="G292" s="4">
        <v>12</v>
      </c>
      <c r="H292" s="4">
        <v>343</v>
      </c>
      <c r="I292" s="4">
        <v>10</v>
      </c>
      <c r="J292" s="6">
        <v>45989</v>
      </c>
      <c r="K292" t="s">
        <v>579</v>
      </c>
      <c r="L292" s="5" t="s">
        <v>584</v>
      </c>
      <c r="M292" s="5" t="s">
        <v>585</v>
      </c>
      <c r="N292" s="7" t="str">
        <f t="shared" si="20"/>
        <v>2025</v>
      </c>
      <c r="O292" s="7" t="str">
        <f t="shared" si="21"/>
        <v>Nov</v>
      </c>
      <c r="P292" s="7" t="str">
        <f t="shared" si="22"/>
        <v>Fri</v>
      </c>
      <c r="Q292" t="str">
        <f t="shared" si="23"/>
        <v>Discounted</v>
      </c>
      <c r="R292" t="str">
        <f t="shared" si="24"/>
        <v>No Action</v>
      </c>
    </row>
    <row r="293" spans="1:18" x14ac:dyDescent="0.25">
      <c r="A293" s="4">
        <v>1292</v>
      </c>
      <c r="B293" s="5" t="s">
        <v>304</v>
      </c>
      <c r="C293" s="5" t="s">
        <v>514</v>
      </c>
      <c r="D293" s="5" t="s">
        <v>550</v>
      </c>
      <c r="E293" s="5" t="s">
        <v>572</v>
      </c>
      <c r="F293" s="5" t="s">
        <v>577</v>
      </c>
      <c r="G293" s="4">
        <v>12</v>
      </c>
      <c r="H293" s="4">
        <v>57</v>
      </c>
      <c r="I293" s="4">
        <v>10</v>
      </c>
      <c r="J293" s="6">
        <v>45693</v>
      </c>
      <c r="K293" t="s">
        <v>580</v>
      </c>
      <c r="L293" s="5" t="s">
        <v>583</v>
      </c>
      <c r="M293" s="5" t="s">
        <v>586</v>
      </c>
      <c r="N293" s="7" t="str">
        <f t="shared" si="20"/>
        <v>2025</v>
      </c>
      <c r="O293" s="7" t="str">
        <f t="shared" si="21"/>
        <v>Feb</v>
      </c>
      <c r="P293" s="7" t="str">
        <f t="shared" si="22"/>
        <v>Wed</v>
      </c>
      <c r="Q293" t="str">
        <f t="shared" si="23"/>
        <v>Discounted</v>
      </c>
      <c r="R293" t="str">
        <f t="shared" si="24"/>
        <v>Check Return Policy</v>
      </c>
    </row>
    <row r="294" spans="1:18" x14ac:dyDescent="0.25">
      <c r="A294" s="4">
        <v>1293</v>
      </c>
      <c r="B294" s="5" t="s">
        <v>305</v>
      </c>
      <c r="C294" s="5" t="s">
        <v>512</v>
      </c>
      <c r="D294" s="5" t="s">
        <v>530</v>
      </c>
      <c r="E294" s="5" t="s">
        <v>571</v>
      </c>
      <c r="F294" s="5" t="s">
        <v>577</v>
      </c>
      <c r="G294" s="4">
        <v>15</v>
      </c>
      <c r="H294" s="4">
        <v>106</v>
      </c>
      <c r="I294" s="4">
        <v>10</v>
      </c>
      <c r="J294" s="6">
        <v>45692</v>
      </c>
      <c r="K294" t="s">
        <v>579</v>
      </c>
      <c r="L294" s="5" t="s">
        <v>583</v>
      </c>
      <c r="M294" s="5" t="s">
        <v>585</v>
      </c>
      <c r="N294" s="7" t="str">
        <f t="shared" si="20"/>
        <v>2025</v>
      </c>
      <c r="O294" s="7" t="str">
        <f t="shared" si="21"/>
        <v>Feb</v>
      </c>
      <c r="P294" s="7" t="str">
        <f t="shared" si="22"/>
        <v>Tue</v>
      </c>
      <c r="Q294" t="str">
        <f t="shared" si="23"/>
        <v>Discounted</v>
      </c>
      <c r="R294" t="str">
        <f t="shared" si="24"/>
        <v>No Action</v>
      </c>
    </row>
    <row r="295" spans="1:18" x14ac:dyDescent="0.25">
      <c r="A295" s="4">
        <v>1294</v>
      </c>
      <c r="B295" s="5" t="s">
        <v>306</v>
      </c>
      <c r="C295" s="5" t="s">
        <v>513</v>
      </c>
      <c r="D295" s="5" t="s">
        <v>546</v>
      </c>
      <c r="E295" s="5" t="s">
        <v>565</v>
      </c>
      <c r="F295" s="5" t="s">
        <v>575</v>
      </c>
      <c r="G295" s="4">
        <v>1</v>
      </c>
      <c r="H295" s="4">
        <v>8</v>
      </c>
      <c r="I295" s="4">
        <v>0</v>
      </c>
      <c r="J295" s="6">
        <v>45923</v>
      </c>
      <c r="K295" t="s">
        <v>579</v>
      </c>
      <c r="L295" s="5" t="s">
        <v>583</v>
      </c>
      <c r="M295" s="5" t="s">
        <v>585</v>
      </c>
      <c r="N295" s="7" t="str">
        <f t="shared" si="20"/>
        <v>2025</v>
      </c>
      <c r="O295" s="7" t="str">
        <f t="shared" si="21"/>
        <v>Sep</v>
      </c>
      <c r="P295" s="7" t="str">
        <f t="shared" si="22"/>
        <v>Tue</v>
      </c>
      <c r="Q295" t="str">
        <f t="shared" si="23"/>
        <v>Full Price</v>
      </c>
      <c r="R295" t="str">
        <f t="shared" si="24"/>
        <v>No Action</v>
      </c>
    </row>
    <row r="296" spans="1:18" x14ac:dyDescent="0.25">
      <c r="A296" s="4">
        <v>1295</v>
      </c>
      <c r="B296" s="5" t="s">
        <v>307</v>
      </c>
      <c r="C296" s="5" t="s">
        <v>512</v>
      </c>
      <c r="D296" s="5" t="s">
        <v>535</v>
      </c>
      <c r="E296" s="5" t="s">
        <v>572</v>
      </c>
      <c r="F296" s="5" t="s">
        <v>577</v>
      </c>
      <c r="G296" s="4">
        <v>16</v>
      </c>
      <c r="H296" s="4">
        <v>250</v>
      </c>
      <c r="I296" s="4">
        <v>15</v>
      </c>
      <c r="J296" s="6">
        <v>45727</v>
      </c>
      <c r="K296" t="s">
        <v>579</v>
      </c>
      <c r="L296" s="5" t="s">
        <v>583</v>
      </c>
      <c r="M296" s="5" t="s">
        <v>585</v>
      </c>
      <c r="N296" s="7" t="str">
        <f t="shared" si="20"/>
        <v>2025</v>
      </c>
      <c r="O296" s="7" t="str">
        <f t="shared" si="21"/>
        <v>Mar</v>
      </c>
      <c r="P296" s="7" t="str">
        <f t="shared" si="22"/>
        <v>Tue</v>
      </c>
      <c r="Q296" t="str">
        <f t="shared" si="23"/>
        <v>Discounted</v>
      </c>
      <c r="R296" t="str">
        <f t="shared" si="24"/>
        <v>No Action</v>
      </c>
    </row>
    <row r="297" spans="1:18" x14ac:dyDescent="0.25">
      <c r="A297" s="4">
        <v>1296</v>
      </c>
      <c r="B297" s="5" t="s">
        <v>308</v>
      </c>
      <c r="C297" s="5" t="s">
        <v>511</v>
      </c>
      <c r="D297" s="5" t="s">
        <v>522</v>
      </c>
      <c r="E297" s="5" t="s">
        <v>566</v>
      </c>
      <c r="F297" s="5" t="s">
        <v>576</v>
      </c>
      <c r="G297" s="4">
        <v>4</v>
      </c>
      <c r="H297" s="4">
        <v>298</v>
      </c>
      <c r="I297" s="4">
        <v>5</v>
      </c>
      <c r="J297" s="6">
        <v>45941</v>
      </c>
      <c r="K297" t="s">
        <v>578</v>
      </c>
      <c r="L297" s="5" t="s">
        <v>582</v>
      </c>
      <c r="M297" s="5" t="s">
        <v>586</v>
      </c>
      <c r="N297" s="7" t="str">
        <f t="shared" si="20"/>
        <v>2025</v>
      </c>
      <c r="O297" s="7" t="str">
        <f t="shared" si="21"/>
        <v>Oct</v>
      </c>
      <c r="P297" s="7" t="str">
        <f t="shared" si="22"/>
        <v>Sat</v>
      </c>
      <c r="Q297" t="str">
        <f t="shared" si="23"/>
        <v>Discounted</v>
      </c>
      <c r="R297" t="str">
        <f t="shared" si="24"/>
        <v>Check Return Policy</v>
      </c>
    </row>
    <row r="298" spans="1:18" x14ac:dyDescent="0.25">
      <c r="A298" s="4">
        <v>1297</v>
      </c>
      <c r="B298" s="5" t="s">
        <v>309</v>
      </c>
      <c r="C298" s="5" t="s">
        <v>511</v>
      </c>
      <c r="D298" s="5" t="s">
        <v>542</v>
      </c>
      <c r="E298" s="5" t="s">
        <v>573</v>
      </c>
      <c r="F298" s="5" t="s">
        <v>576</v>
      </c>
      <c r="G298" s="4">
        <v>19</v>
      </c>
      <c r="H298" s="4">
        <v>158</v>
      </c>
      <c r="I298" s="4">
        <v>15</v>
      </c>
      <c r="J298" s="6">
        <v>45682</v>
      </c>
      <c r="K298" t="s">
        <v>578</v>
      </c>
      <c r="L298" s="5" t="s">
        <v>582</v>
      </c>
      <c r="M298" s="5" t="s">
        <v>586</v>
      </c>
      <c r="N298" s="7" t="str">
        <f t="shared" si="20"/>
        <v>2025</v>
      </c>
      <c r="O298" s="7" t="str">
        <f t="shared" si="21"/>
        <v>Jan</v>
      </c>
      <c r="P298" s="7" t="str">
        <f t="shared" si="22"/>
        <v>Sat</v>
      </c>
      <c r="Q298" t="str">
        <f t="shared" si="23"/>
        <v>Discounted</v>
      </c>
      <c r="R298" t="str">
        <f t="shared" si="24"/>
        <v>Check Return Policy</v>
      </c>
    </row>
    <row r="299" spans="1:18" x14ac:dyDescent="0.25">
      <c r="A299" s="4">
        <v>1298</v>
      </c>
      <c r="B299" s="5" t="s">
        <v>310</v>
      </c>
      <c r="C299" s="5" t="s">
        <v>511</v>
      </c>
      <c r="D299" s="5" t="s">
        <v>519</v>
      </c>
      <c r="E299" s="5" t="s">
        <v>567</v>
      </c>
      <c r="F299" s="5" t="s">
        <v>576</v>
      </c>
      <c r="G299" s="4">
        <v>7</v>
      </c>
      <c r="H299" s="4">
        <v>837</v>
      </c>
      <c r="I299" s="4">
        <v>10</v>
      </c>
      <c r="J299" s="6">
        <v>45972</v>
      </c>
      <c r="K299" t="s">
        <v>581</v>
      </c>
      <c r="L299" s="5" t="s">
        <v>584</v>
      </c>
      <c r="M299" s="5" t="s">
        <v>585</v>
      </c>
      <c r="N299" s="7" t="str">
        <f t="shared" si="20"/>
        <v>2025</v>
      </c>
      <c r="O299" s="7" t="str">
        <f t="shared" si="21"/>
        <v>Nov</v>
      </c>
      <c r="P299" s="7" t="str">
        <f t="shared" si="22"/>
        <v>Tue</v>
      </c>
      <c r="Q299" t="str">
        <f t="shared" si="23"/>
        <v>Discounted</v>
      </c>
      <c r="R299" t="str">
        <f t="shared" si="24"/>
        <v>No Action</v>
      </c>
    </row>
    <row r="300" spans="1:18" x14ac:dyDescent="0.25">
      <c r="A300" s="4">
        <v>1299</v>
      </c>
      <c r="B300" s="5" t="s">
        <v>311</v>
      </c>
      <c r="C300" s="5" t="s">
        <v>513</v>
      </c>
      <c r="D300" s="5" t="s">
        <v>563</v>
      </c>
      <c r="E300" s="5" t="s">
        <v>567</v>
      </c>
      <c r="F300" s="5" t="s">
        <v>576</v>
      </c>
      <c r="G300" s="4">
        <v>2</v>
      </c>
      <c r="H300" s="4">
        <v>1339</v>
      </c>
      <c r="I300" s="4">
        <v>5</v>
      </c>
      <c r="J300" s="6">
        <v>45929</v>
      </c>
      <c r="K300" t="s">
        <v>580</v>
      </c>
      <c r="L300" s="5" t="s">
        <v>583</v>
      </c>
      <c r="M300" s="5" t="s">
        <v>585</v>
      </c>
      <c r="N300" s="7" t="str">
        <f t="shared" si="20"/>
        <v>2025</v>
      </c>
      <c r="O300" s="7" t="str">
        <f t="shared" si="21"/>
        <v>Sep</v>
      </c>
      <c r="P300" s="7" t="str">
        <f t="shared" si="22"/>
        <v>Mon</v>
      </c>
      <c r="Q300" t="str">
        <f t="shared" si="23"/>
        <v>Discounted</v>
      </c>
      <c r="R300" t="str">
        <f t="shared" si="24"/>
        <v>No Action</v>
      </c>
    </row>
    <row r="301" spans="1:18" x14ac:dyDescent="0.25">
      <c r="A301" s="4">
        <v>1300</v>
      </c>
      <c r="B301" s="5" t="s">
        <v>312</v>
      </c>
      <c r="C301" s="5" t="s">
        <v>512</v>
      </c>
      <c r="D301" s="5" t="s">
        <v>545</v>
      </c>
      <c r="E301" s="5" t="s">
        <v>573</v>
      </c>
      <c r="F301" s="5" t="s">
        <v>576</v>
      </c>
      <c r="G301" s="4">
        <v>2</v>
      </c>
      <c r="H301" s="4">
        <v>373</v>
      </c>
      <c r="I301" s="4">
        <v>15</v>
      </c>
      <c r="J301" s="6">
        <v>45757</v>
      </c>
      <c r="K301" t="s">
        <v>580</v>
      </c>
      <c r="L301" s="5" t="s">
        <v>583</v>
      </c>
      <c r="M301" s="5" t="s">
        <v>586</v>
      </c>
      <c r="N301" s="7" t="str">
        <f t="shared" si="20"/>
        <v>2025</v>
      </c>
      <c r="O301" s="7" t="str">
        <f t="shared" si="21"/>
        <v>Apr</v>
      </c>
      <c r="P301" s="7" t="str">
        <f t="shared" si="22"/>
        <v>Thu</v>
      </c>
      <c r="Q301" t="str">
        <f t="shared" si="23"/>
        <v>Discounted</v>
      </c>
      <c r="R301" t="str">
        <f t="shared" si="24"/>
        <v>Check Return Policy</v>
      </c>
    </row>
    <row r="302" spans="1:18" x14ac:dyDescent="0.25">
      <c r="A302" s="4">
        <v>1301</v>
      </c>
      <c r="B302" s="5" t="s">
        <v>313</v>
      </c>
      <c r="C302" s="5" t="s">
        <v>513</v>
      </c>
      <c r="D302" s="5" t="s">
        <v>550</v>
      </c>
      <c r="E302" s="5" t="s">
        <v>567</v>
      </c>
      <c r="F302" s="5" t="s">
        <v>576</v>
      </c>
      <c r="G302" s="4">
        <v>20</v>
      </c>
      <c r="H302" s="4">
        <v>1443</v>
      </c>
      <c r="I302" s="4">
        <v>5</v>
      </c>
      <c r="J302" s="6">
        <v>45754</v>
      </c>
      <c r="K302" t="s">
        <v>579</v>
      </c>
      <c r="L302" s="5" t="s">
        <v>584</v>
      </c>
      <c r="M302" s="5" t="s">
        <v>585</v>
      </c>
      <c r="N302" s="7" t="str">
        <f t="shared" si="20"/>
        <v>2025</v>
      </c>
      <c r="O302" s="7" t="str">
        <f t="shared" si="21"/>
        <v>Apr</v>
      </c>
      <c r="P302" s="7" t="str">
        <f t="shared" si="22"/>
        <v>Mon</v>
      </c>
      <c r="Q302" t="str">
        <f t="shared" si="23"/>
        <v>Discounted</v>
      </c>
      <c r="R302" t="str">
        <f t="shared" si="24"/>
        <v>No Action</v>
      </c>
    </row>
    <row r="303" spans="1:18" x14ac:dyDescent="0.25">
      <c r="A303" s="4">
        <v>1302</v>
      </c>
      <c r="B303" s="5" t="s">
        <v>314</v>
      </c>
      <c r="C303" s="5" t="s">
        <v>512</v>
      </c>
      <c r="D303" s="5" t="s">
        <v>560</v>
      </c>
      <c r="E303" s="5" t="s">
        <v>565</v>
      </c>
      <c r="F303" s="5" t="s">
        <v>575</v>
      </c>
      <c r="G303" s="4">
        <v>13</v>
      </c>
      <c r="H303" s="4">
        <v>3</v>
      </c>
      <c r="I303" s="4">
        <v>0</v>
      </c>
      <c r="J303" s="6">
        <v>45931</v>
      </c>
      <c r="K303" t="s">
        <v>579</v>
      </c>
      <c r="L303" s="5" t="s">
        <v>584</v>
      </c>
      <c r="M303" s="5" t="s">
        <v>585</v>
      </c>
      <c r="N303" s="7" t="str">
        <f t="shared" si="20"/>
        <v>2025</v>
      </c>
      <c r="O303" s="7" t="str">
        <f t="shared" si="21"/>
        <v>Oct</v>
      </c>
      <c r="P303" s="7" t="str">
        <f t="shared" si="22"/>
        <v>Wed</v>
      </c>
      <c r="Q303" t="str">
        <f t="shared" si="23"/>
        <v>Full Price</v>
      </c>
      <c r="R303" t="str">
        <f t="shared" si="24"/>
        <v>No Action</v>
      </c>
    </row>
    <row r="304" spans="1:18" x14ac:dyDescent="0.25">
      <c r="A304" s="4">
        <v>1303</v>
      </c>
      <c r="B304" s="5" t="s">
        <v>315</v>
      </c>
      <c r="C304" s="5" t="s">
        <v>512</v>
      </c>
      <c r="D304" s="5" t="s">
        <v>549</v>
      </c>
      <c r="E304" s="5" t="s">
        <v>572</v>
      </c>
      <c r="F304" s="5" t="s">
        <v>577</v>
      </c>
      <c r="G304" s="4">
        <v>3</v>
      </c>
      <c r="H304" s="4">
        <v>95</v>
      </c>
      <c r="I304" s="4">
        <v>10</v>
      </c>
      <c r="J304" s="6">
        <v>45955</v>
      </c>
      <c r="K304" t="s">
        <v>581</v>
      </c>
      <c r="L304" s="5" t="s">
        <v>584</v>
      </c>
      <c r="M304" s="5" t="s">
        <v>585</v>
      </c>
      <c r="N304" s="7" t="str">
        <f t="shared" si="20"/>
        <v>2025</v>
      </c>
      <c r="O304" s="7" t="str">
        <f t="shared" si="21"/>
        <v>Oct</v>
      </c>
      <c r="P304" s="7" t="str">
        <f t="shared" si="22"/>
        <v>Sat</v>
      </c>
      <c r="Q304" t="str">
        <f t="shared" si="23"/>
        <v>Discounted</v>
      </c>
      <c r="R304" t="str">
        <f t="shared" si="24"/>
        <v>No Action</v>
      </c>
    </row>
    <row r="305" spans="1:18" x14ac:dyDescent="0.25">
      <c r="A305" s="4">
        <v>1304</v>
      </c>
      <c r="B305" s="5" t="s">
        <v>316</v>
      </c>
      <c r="C305" s="5" t="s">
        <v>512</v>
      </c>
      <c r="D305" s="5" t="s">
        <v>549</v>
      </c>
      <c r="E305" s="5" t="s">
        <v>569</v>
      </c>
      <c r="F305" s="5" t="s">
        <v>576</v>
      </c>
      <c r="G305" s="4">
        <v>15</v>
      </c>
      <c r="H305" s="4">
        <v>481</v>
      </c>
      <c r="I305" s="4">
        <v>10</v>
      </c>
      <c r="J305" s="6">
        <v>45836</v>
      </c>
      <c r="K305" t="s">
        <v>578</v>
      </c>
      <c r="L305" s="5" t="s">
        <v>584</v>
      </c>
      <c r="M305" s="5" t="s">
        <v>586</v>
      </c>
      <c r="N305" s="7" t="str">
        <f t="shared" si="20"/>
        <v>2025</v>
      </c>
      <c r="O305" s="7" t="str">
        <f t="shared" si="21"/>
        <v>Jun</v>
      </c>
      <c r="P305" s="7" t="str">
        <f t="shared" si="22"/>
        <v>Sat</v>
      </c>
      <c r="Q305" t="str">
        <f t="shared" si="23"/>
        <v>Discounted</v>
      </c>
      <c r="R305" t="str">
        <f t="shared" si="24"/>
        <v>Check Return Policy</v>
      </c>
    </row>
    <row r="306" spans="1:18" x14ac:dyDescent="0.25">
      <c r="A306" s="4">
        <v>1305</v>
      </c>
      <c r="B306" s="5" t="s">
        <v>317</v>
      </c>
      <c r="C306" s="5" t="s">
        <v>514</v>
      </c>
      <c r="D306" s="5" t="s">
        <v>550</v>
      </c>
      <c r="E306" s="5" t="s">
        <v>566</v>
      </c>
      <c r="F306" s="5" t="s">
        <v>576</v>
      </c>
      <c r="G306" s="4">
        <v>4</v>
      </c>
      <c r="H306" s="4">
        <v>340</v>
      </c>
      <c r="I306" s="4">
        <v>10</v>
      </c>
      <c r="J306" s="6">
        <v>46009</v>
      </c>
      <c r="K306" t="s">
        <v>581</v>
      </c>
      <c r="L306" s="5" t="s">
        <v>584</v>
      </c>
      <c r="M306" s="5" t="s">
        <v>585</v>
      </c>
      <c r="N306" s="7" t="str">
        <f t="shared" si="20"/>
        <v>2025</v>
      </c>
      <c r="O306" s="7" t="str">
        <f t="shared" si="21"/>
        <v>Dec</v>
      </c>
      <c r="P306" s="7" t="str">
        <f t="shared" si="22"/>
        <v>Thu</v>
      </c>
      <c r="Q306" t="str">
        <f t="shared" si="23"/>
        <v>Discounted</v>
      </c>
      <c r="R306" t="str">
        <f t="shared" si="24"/>
        <v>No Action</v>
      </c>
    </row>
    <row r="307" spans="1:18" x14ac:dyDescent="0.25">
      <c r="A307" s="4">
        <v>1306</v>
      </c>
      <c r="B307" s="5" t="s">
        <v>318</v>
      </c>
      <c r="C307" s="5" t="s">
        <v>512</v>
      </c>
      <c r="D307" s="5" t="s">
        <v>557</v>
      </c>
      <c r="E307" s="5" t="s">
        <v>566</v>
      </c>
      <c r="F307" s="5" t="s">
        <v>576</v>
      </c>
      <c r="G307" s="4">
        <v>19</v>
      </c>
      <c r="H307" s="4">
        <v>295</v>
      </c>
      <c r="I307" s="4">
        <v>15</v>
      </c>
      <c r="J307" s="6">
        <v>45664</v>
      </c>
      <c r="K307" t="s">
        <v>581</v>
      </c>
      <c r="L307" s="5" t="s">
        <v>583</v>
      </c>
      <c r="M307" s="5" t="s">
        <v>585</v>
      </c>
      <c r="N307" s="7" t="str">
        <f t="shared" si="20"/>
        <v>2025</v>
      </c>
      <c r="O307" s="7" t="str">
        <f t="shared" si="21"/>
        <v>Jan</v>
      </c>
      <c r="P307" s="7" t="str">
        <f t="shared" si="22"/>
        <v>Tue</v>
      </c>
      <c r="Q307" t="str">
        <f t="shared" si="23"/>
        <v>Discounted</v>
      </c>
      <c r="R307" t="str">
        <f t="shared" si="24"/>
        <v>No Action</v>
      </c>
    </row>
    <row r="308" spans="1:18" x14ac:dyDescent="0.25">
      <c r="A308" s="4">
        <v>1307</v>
      </c>
      <c r="B308" s="5" t="s">
        <v>319</v>
      </c>
      <c r="C308" s="5" t="s">
        <v>513</v>
      </c>
      <c r="D308" s="5" t="s">
        <v>520</v>
      </c>
      <c r="E308" s="5" t="s">
        <v>570</v>
      </c>
      <c r="F308" s="5" t="s">
        <v>575</v>
      </c>
      <c r="G308" s="4">
        <v>12</v>
      </c>
      <c r="H308" s="4">
        <v>10</v>
      </c>
      <c r="I308" s="4">
        <v>0</v>
      </c>
      <c r="J308" s="6">
        <v>45905</v>
      </c>
      <c r="K308" t="s">
        <v>578</v>
      </c>
      <c r="L308" s="5" t="s">
        <v>583</v>
      </c>
      <c r="M308" s="5" t="s">
        <v>585</v>
      </c>
      <c r="N308" s="7" t="str">
        <f t="shared" si="20"/>
        <v>2025</v>
      </c>
      <c r="O308" s="7" t="str">
        <f t="shared" si="21"/>
        <v>Sep</v>
      </c>
      <c r="P308" s="7" t="str">
        <f t="shared" si="22"/>
        <v>Fri</v>
      </c>
      <c r="Q308" t="str">
        <f t="shared" si="23"/>
        <v>Full Price</v>
      </c>
      <c r="R308" t="str">
        <f t="shared" si="24"/>
        <v>No Action</v>
      </c>
    </row>
    <row r="309" spans="1:18" x14ac:dyDescent="0.25">
      <c r="A309" s="4">
        <v>1308</v>
      </c>
      <c r="B309" s="5" t="s">
        <v>320</v>
      </c>
      <c r="C309" s="5" t="s">
        <v>513</v>
      </c>
      <c r="D309" s="5" t="s">
        <v>524</v>
      </c>
      <c r="E309" s="5" t="s">
        <v>567</v>
      </c>
      <c r="F309" s="5" t="s">
        <v>576</v>
      </c>
      <c r="G309" s="4">
        <v>4</v>
      </c>
      <c r="H309" s="4">
        <v>1011</v>
      </c>
      <c r="I309" s="4">
        <v>15</v>
      </c>
      <c r="J309" s="6">
        <v>45723</v>
      </c>
      <c r="K309" t="s">
        <v>580</v>
      </c>
      <c r="L309" s="5" t="s">
        <v>583</v>
      </c>
      <c r="M309" s="5" t="s">
        <v>585</v>
      </c>
      <c r="N309" s="7" t="str">
        <f t="shared" si="20"/>
        <v>2025</v>
      </c>
      <c r="O309" s="7" t="str">
        <f t="shared" si="21"/>
        <v>Mar</v>
      </c>
      <c r="P309" s="7" t="str">
        <f t="shared" si="22"/>
        <v>Fri</v>
      </c>
      <c r="Q309" t="str">
        <f t="shared" si="23"/>
        <v>Discounted</v>
      </c>
      <c r="R309" t="str">
        <f t="shared" si="24"/>
        <v>No Action</v>
      </c>
    </row>
    <row r="310" spans="1:18" x14ac:dyDescent="0.25">
      <c r="A310" s="4">
        <v>1309</v>
      </c>
      <c r="B310" s="5" t="s">
        <v>321</v>
      </c>
      <c r="C310" s="5" t="s">
        <v>513</v>
      </c>
      <c r="D310" s="5" t="s">
        <v>560</v>
      </c>
      <c r="E310" s="5" t="s">
        <v>572</v>
      </c>
      <c r="F310" s="5" t="s">
        <v>577</v>
      </c>
      <c r="G310" s="4">
        <v>16</v>
      </c>
      <c r="H310" s="4">
        <v>82</v>
      </c>
      <c r="I310" s="4">
        <v>0</v>
      </c>
      <c r="J310" s="6">
        <v>45664</v>
      </c>
      <c r="K310" t="s">
        <v>580</v>
      </c>
      <c r="L310" s="5" t="s">
        <v>583</v>
      </c>
      <c r="M310" s="5" t="s">
        <v>586</v>
      </c>
      <c r="N310" s="7" t="str">
        <f t="shared" si="20"/>
        <v>2025</v>
      </c>
      <c r="O310" s="7" t="str">
        <f t="shared" si="21"/>
        <v>Jan</v>
      </c>
      <c r="P310" s="7" t="str">
        <f t="shared" si="22"/>
        <v>Tue</v>
      </c>
      <c r="Q310" t="str">
        <f t="shared" si="23"/>
        <v>Full Price</v>
      </c>
      <c r="R310" t="str">
        <f t="shared" si="24"/>
        <v>Check Return Policy</v>
      </c>
    </row>
    <row r="311" spans="1:18" x14ac:dyDescent="0.25">
      <c r="A311" s="4">
        <v>1310</v>
      </c>
      <c r="B311" s="5" t="s">
        <v>322</v>
      </c>
      <c r="C311" s="5" t="s">
        <v>512</v>
      </c>
      <c r="D311" s="5" t="s">
        <v>525</v>
      </c>
      <c r="E311" s="5" t="s">
        <v>571</v>
      </c>
      <c r="F311" s="5" t="s">
        <v>577</v>
      </c>
      <c r="G311" s="4">
        <v>16</v>
      </c>
      <c r="H311" s="4">
        <v>202</v>
      </c>
      <c r="I311" s="4">
        <v>15</v>
      </c>
      <c r="J311" s="6">
        <v>45680</v>
      </c>
      <c r="K311" t="s">
        <v>580</v>
      </c>
      <c r="L311" s="5" t="s">
        <v>583</v>
      </c>
      <c r="M311" s="5" t="s">
        <v>586</v>
      </c>
      <c r="N311" s="7" t="str">
        <f t="shared" si="20"/>
        <v>2025</v>
      </c>
      <c r="O311" s="7" t="str">
        <f t="shared" si="21"/>
        <v>Jan</v>
      </c>
      <c r="P311" s="7" t="str">
        <f t="shared" si="22"/>
        <v>Thu</v>
      </c>
      <c r="Q311" t="str">
        <f t="shared" si="23"/>
        <v>Discounted</v>
      </c>
      <c r="R311" t="str">
        <f t="shared" si="24"/>
        <v>Check Return Policy</v>
      </c>
    </row>
    <row r="312" spans="1:18" x14ac:dyDescent="0.25">
      <c r="A312" s="4">
        <v>1311</v>
      </c>
      <c r="B312" s="5" t="s">
        <v>323</v>
      </c>
      <c r="C312" s="5" t="s">
        <v>513</v>
      </c>
      <c r="D312" s="5" t="s">
        <v>538</v>
      </c>
      <c r="E312" s="5" t="s">
        <v>572</v>
      </c>
      <c r="F312" s="5" t="s">
        <v>577</v>
      </c>
      <c r="G312" s="4">
        <v>14</v>
      </c>
      <c r="H312" s="4">
        <v>266</v>
      </c>
      <c r="I312" s="4">
        <v>0</v>
      </c>
      <c r="J312" s="6">
        <v>45956</v>
      </c>
      <c r="K312" t="s">
        <v>579</v>
      </c>
      <c r="L312" s="5" t="s">
        <v>583</v>
      </c>
      <c r="M312" s="5" t="s">
        <v>585</v>
      </c>
      <c r="N312" s="7" t="str">
        <f t="shared" si="20"/>
        <v>2025</v>
      </c>
      <c r="O312" s="7" t="str">
        <f t="shared" si="21"/>
        <v>Oct</v>
      </c>
      <c r="P312" s="7" t="str">
        <f t="shared" si="22"/>
        <v>Sun</v>
      </c>
      <c r="Q312" t="str">
        <f t="shared" si="23"/>
        <v>Full Price</v>
      </c>
      <c r="R312" t="str">
        <f t="shared" si="24"/>
        <v>No Action</v>
      </c>
    </row>
    <row r="313" spans="1:18" x14ac:dyDescent="0.25">
      <c r="A313" s="4">
        <v>1312</v>
      </c>
      <c r="B313" s="5" t="s">
        <v>324</v>
      </c>
      <c r="C313" s="5" t="s">
        <v>513</v>
      </c>
      <c r="D313" s="5" t="s">
        <v>533</v>
      </c>
      <c r="E313" s="5" t="s">
        <v>566</v>
      </c>
      <c r="F313" s="5" t="s">
        <v>576</v>
      </c>
      <c r="G313" s="4">
        <v>14</v>
      </c>
      <c r="H313" s="4">
        <v>225</v>
      </c>
      <c r="I313" s="4">
        <v>15</v>
      </c>
      <c r="J313" s="6">
        <v>45966</v>
      </c>
      <c r="K313" t="s">
        <v>579</v>
      </c>
      <c r="L313" s="5" t="s">
        <v>584</v>
      </c>
      <c r="M313" s="5" t="s">
        <v>585</v>
      </c>
      <c r="N313" s="7" t="str">
        <f t="shared" si="20"/>
        <v>2025</v>
      </c>
      <c r="O313" s="7" t="str">
        <f t="shared" si="21"/>
        <v>Nov</v>
      </c>
      <c r="P313" s="7" t="str">
        <f t="shared" si="22"/>
        <v>Wed</v>
      </c>
      <c r="Q313" t="str">
        <f t="shared" si="23"/>
        <v>Discounted</v>
      </c>
      <c r="R313" t="str">
        <f t="shared" si="24"/>
        <v>No Action</v>
      </c>
    </row>
    <row r="314" spans="1:18" x14ac:dyDescent="0.25">
      <c r="A314" s="4">
        <v>1313</v>
      </c>
      <c r="B314" s="5" t="s">
        <v>325</v>
      </c>
      <c r="C314" s="5" t="s">
        <v>511</v>
      </c>
      <c r="D314" s="5" t="s">
        <v>519</v>
      </c>
      <c r="E314" s="5" t="s">
        <v>572</v>
      </c>
      <c r="F314" s="5" t="s">
        <v>577</v>
      </c>
      <c r="G314" s="4">
        <v>9</v>
      </c>
      <c r="H314" s="4">
        <v>263</v>
      </c>
      <c r="I314" s="4">
        <v>15</v>
      </c>
      <c r="J314" s="6">
        <v>45870</v>
      </c>
      <c r="K314" t="s">
        <v>579</v>
      </c>
      <c r="L314" s="5" t="s">
        <v>584</v>
      </c>
      <c r="M314" s="5" t="s">
        <v>586</v>
      </c>
      <c r="N314" s="7" t="str">
        <f t="shared" si="20"/>
        <v>2025</v>
      </c>
      <c r="O314" s="7" t="str">
        <f t="shared" si="21"/>
        <v>Aug</v>
      </c>
      <c r="P314" s="7" t="str">
        <f t="shared" si="22"/>
        <v>Fri</v>
      </c>
      <c r="Q314" t="str">
        <f t="shared" si="23"/>
        <v>Discounted</v>
      </c>
      <c r="R314" t="str">
        <f t="shared" si="24"/>
        <v>Check Return Policy</v>
      </c>
    </row>
    <row r="315" spans="1:18" x14ac:dyDescent="0.25">
      <c r="A315" s="4">
        <v>1314</v>
      </c>
      <c r="B315" s="5" t="s">
        <v>326</v>
      </c>
      <c r="C315" s="5" t="s">
        <v>513</v>
      </c>
      <c r="D315" s="5" t="s">
        <v>539</v>
      </c>
      <c r="E315" s="5" t="s">
        <v>572</v>
      </c>
      <c r="F315" s="5" t="s">
        <v>577</v>
      </c>
      <c r="G315" s="4">
        <v>6</v>
      </c>
      <c r="H315" s="4">
        <v>93</v>
      </c>
      <c r="I315" s="4">
        <v>5</v>
      </c>
      <c r="J315" s="6">
        <v>45789</v>
      </c>
      <c r="K315" t="s">
        <v>578</v>
      </c>
      <c r="L315" s="5" t="s">
        <v>583</v>
      </c>
      <c r="M315" s="5" t="s">
        <v>585</v>
      </c>
      <c r="N315" s="7" t="str">
        <f t="shared" si="20"/>
        <v>2025</v>
      </c>
      <c r="O315" s="7" t="str">
        <f t="shared" si="21"/>
        <v>May</v>
      </c>
      <c r="P315" s="7" t="str">
        <f t="shared" si="22"/>
        <v>Mon</v>
      </c>
      <c r="Q315" t="str">
        <f t="shared" si="23"/>
        <v>Discounted</v>
      </c>
      <c r="R315" t="str">
        <f t="shared" si="24"/>
        <v>No Action</v>
      </c>
    </row>
    <row r="316" spans="1:18" x14ac:dyDescent="0.25">
      <c r="A316" s="4">
        <v>1315</v>
      </c>
      <c r="B316" s="5" t="s">
        <v>327</v>
      </c>
      <c r="C316" s="5" t="s">
        <v>511</v>
      </c>
      <c r="D316" s="5" t="s">
        <v>545</v>
      </c>
      <c r="E316" s="5" t="s">
        <v>571</v>
      </c>
      <c r="F316" s="5" t="s">
        <v>577</v>
      </c>
      <c r="G316" s="4">
        <v>3</v>
      </c>
      <c r="H316" s="4">
        <v>292</v>
      </c>
      <c r="I316" s="4">
        <v>10</v>
      </c>
      <c r="J316" s="6">
        <v>45726</v>
      </c>
      <c r="K316" t="s">
        <v>580</v>
      </c>
      <c r="L316" s="5" t="s">
        <v>583</v>
      </c>
      <c r="M316" s="5" t="s">
        <v>586</v>
      </c>
      <c r="N316" s="7" t="str">
        <f t="shared" si="20"/>
        <v>2025</v>
      </c>
      <c r="O316" s="7" t="str">
        <f t="shared" si="21"/>
        <v>Mar</v>
      </c>
      <c r="P316" s="7" t="str">
        <f t="shared" si="22"/>
        <v>Mon</v>
      </c>
      <c r="Q316" t="str">
        <f t="shared" si="23"/>
        <v>Discounted</v>
      </c>
      <c r="R316" t="str">
        <f t="shared" si="24"/>
        <v>Check Return Policy</v>
      </c>
    </row>
    <row r="317" spans="1:18" x14ac:dyDescent="0.25">
      <c r="A317" s="4">
        <v>1316</v>
      </c>
      <c r="B317" s="5" t="s">
        <v>328</v>
      </c>
      <c r="C317" s="5" t="s">
        <v>513</v>
      </c>
      <c r="D317" s="5" t="s">
        <v>562</v>
      </c>
      <c r="E317" s="5" t="s">
        <v>565</v>
      </c>
      <c r="F317" s="5" t="s">
        <v>575</v>
      </c>
      <c r="G317" s="4">
        <v>11</v>
      </c>
      <c r="H317" s="4">
        <v>9</v>
      </c>
      <c r="I317" s="4">
        <v>15</v>
      </c>
      <c r="J317" s="6">
        <v>45798</v>
      </c>
      <c r="K317" t="s">
        <v>579</v>
      </c>
      <c r="L317" s="5" t="s">
        <v>582</v>
      </c>
      <c r="M317" s="5" t="s">
        <v>586</v>
      </c>
      <c r="N317" s="7" t="str">
        <f t="shared" si="20"/>
        <v>2025</v>
      </c>
      <c r="O317" s="7" t="str">
        <f t="shared" si="21"/>
        <v>May</v>
      </c>
      <c r="P317" s="7" t="str">
        <f t="shared" si="22"/>
        <v>Wed</v>
      </c>
      <c r="Q317" t="str">
        <f t="shared" si="23"/>
        <v>Discounted</v>
      </c>
      <c r="R317" t="str">
        <f t="shared" si="24"/>
        <v>Check Return Policy</v>
      </c>
    </row>
    <row r="318" spans="1:18" x14ac:dyDescent="0.25">
      <c r="A318" s="4">
        <v>1317</v>
      </c>
      <c r="B318" s="5" t="s">
        <v>329</v>
      </c>
      <c r="C318" s="5" t="s">
        <v>512</v>
      </c>
      <c r="D318" s="5" t="s">
        <v>521</v>
      </c>
      <c r="E318" s="5" t="s">
        <v>567</v>
      </c>
      <c r="F318" s="5" t="s">
        <v>576</v>
      </c>
      <c r="G318" s="4">
        <v>1</v>
      </c>
      <c r="H318" s="4">
        <v>1234</v>
      </c>
      <c r="I318" s="4">
        <v>10</v>
      </c>
      <c r="J318" s="6">
        <v>45902</v>
      </c>
      <c r="K318" t="s">
        <v>579</v>
      </c>
      <c r="L318" s="5" t="s">
        <v>582</v>
      </c>
      <c r="M318" s="5" t="s">
        <v>586</v>
      </c>
      <c r="N318" s="7" t="str">
        <f t="shared" si="20"/>
        <v>2025</v>
      </c>
      <c r="O318" s="7" t="str">
        <f t="shared" si="21"/>
        <v>Sep</v>
      </c>
      <c r="P318" s="7" t="str">
        <f t="shared" si="22"/>
        <v>Tue</v>
      </c>
      <c r="Q318" t="str">
        <f t="shared" si="23"/>
        <v>Discounted</v>
      </c>
      <c r="R318" t="str">
        <f t="shared" si="24"/>
        <v>Check Return Policy</v>
      </c>
    </row>
    <row r="319" spans="1:18" x14ac:dyDescent="0.25">
      <c r="A319" s="4">
        <v>1318</v>
      </c>
      <c r="B319" s="5" t="s">
        <v>330</v>
      </c>
      <c r="C319" s="5" t="s">
        <v>513</v>
      </c>
      <c r="D319" s="5" t="s">
        <v>531</v>
      </c>
      <c r="E319" s="5" t="s">
        <v>566</v>
      </c>
      <c r="F319" s="5" t="s">
        <v>576</v>
      </c>
      <c r="G319" s="4">
        <v>4</v>
      </c>
      <c r="H319" s="4">
        <v>337</v>
      </c>
      <c r="I319" s="4">
        <v>5</v>
      </c>
      <c r="J319" s="6">
        <v>45742</v>
      </c>
      <c r="K319" t="s">
        <v>581</v>
      </c>
      <c r="L319" s="5" t="s">
        <v>583</v>
      </c>
      <c r="M319" s="5" t="s">
        <v>586</v>
      </c>
      <c r="N319" s="7" t="str">
        <f t="shared" si="20"/>
        <v>2025</v>
      </c>
      <c r="O319" s="7" t="str">
        <f t="shared" si="21"/>
        <v>Mar</v>
      </c>
      <c r="P319" s="7" t="str">
        <f t="shared" si="22"/>
        <v>Wed</v>
      </c>
      <c r="Q319" t="str">
        <f t="shared" si="23"/>
        <v>Discounted</v>
      </c>
      <c r="R319" t="str">
        <f t="shared" si="24"/>
        <v>Check Return Policy</v>
      </c>
    </row>
    <row r="320" spans="1:18" x14ac:dyDescent="0.25">
      <c r="A320" s="4">
        <v>1319</v>
      </c>
      <c r="B320" s="5" t="s">
        <v>331</v>
      </c>
      <c r="C320" s="5" t="s">
        <v>513</v>
      </c>
      <c r="D320" s="5" t="s">
        <v>544</v>
      </c>
      <c r="E320" s="5" t="s">
        <v>565</v>
      </c>
      <c r="F320" s="5" t="s">
        <v>575</v>
      </c>
      <c r="G320" s="4">
        <v>6</v>
      </c>
      <c r="H320" s="4">
        <v>2</v>
      </c>
      <c r="I320" s="4">
        <v>10</v>
      </c>
      <c r="J320" s="6">
        <v>45883</v>
      </c>
      <c r="K320" t="s">
        <v>578</v>
      </c>
      <c r="L320" s="5" t="s">
        <v>584</v>
      </c>
      <c r="M320" s="5" t="s">
        <v>585</v>
      </c>
      <c r="N320" s="7" t="str">
        <f t="shared" si="20"/>
        <v>2025</v>
      </c>
      <c r="O320" s="7" t="str">
        <f t="shared" si="21"/>
        <v>Aug</v>
      </c>
      <c r="P320" s="7" t="str">
        <f t="shared" si="22"/>
        <v>Thu</v>
      </c>
      <c r="Q320" t="str">
        <f t="shared" si="23"/>
        <v>Discounted</v>
      </c>
      <c r="R320" t="str">
        <f t="shared" si="24"/>
        <v>No Action</v>
      </c>
    </row>
    <row r="321" spans="1:18" x14ac:dyDescent="0.25">
      <c r="A321" s="4">
        <v>1320</v>
      </c>
      <c r="B321" s="5" t="s">
        <v>332</v>
      </c>
      <c r="C321" s="5" t="s">
        <v>512</v>
      </c>
      <c r="D321" s="5" t="s">
        <v>556</v>
      </c>
      <c r="E321" s="5" t="s">
        <v>573</v>
      </c>
      <c r="F321" s="5" t="s">
        <v>576</v>
      </c>
      <c r="G321" s="4">
        <v>4</v>
      </c>
      <c r="H321" s="4">
        <v>226</v>
      </c>
      <c r="I321" s="4">
        <v>15</v>
      </c>
      <c r="J321" s="6">
        <v>45764</v>
      </c>
      <c r="K321" t="s">
        <v>580</v>
      </c>
      <c r="L321" s="5" t="s">
        <v>584</v>
      </c>
      <c r="M321" s="5" t="s">
        <v>586</v>
      </c>
      <c r="N321" s="7" t="str">
        <f t="shared" si="20"/>
        <v>2025</v>
      </c>
      <c r="O321" s="7" t="str">
        <f t="shared" si="21"/>
        <v>Apr</v>
      </c>
      <c r="P321" s="7" t="str">
        <f t="shared" si="22"/>
        <v>Thu</v>
      </c>
      <c r="Q321" t="str">
        <f t="shared" si="23"/>
        <v>Discounted</v>
      </c>
      <c r="R321" t="str">
        <f t="shared" si="24"/>
        <v>Check Return Policy</v>
      </c>
    </row>
    <row r="322" spans="1:18" x14ac:dyDescent="0.25">
      <c r="A322" s="4">
        <v>1321</v>
      </c>
      <c r="B322" s="5" t="s">
        <v>333</v>
      </c>
      <c r="C322" s="5" t="s">
        <v>513</v>
      </c>
      <c r="D322" s="5" t="s">
        <v>526</v>
      </c>
      <c r="E322" s="5" t="s">
        <v>574</v>
      </c>
      <c r="F322" s="5" t="s">
        <v>576</v>
      </c>
      <c r="G322" s="4">
        <v>18</v>
      </c>
      <c r="H322" s="4">
        <v>114</v>
      </c>
      <c r="I322" s="4">
        <v>15</v>
      </c>
      <c r="J322" s="6">
        <v>45728</v>
      </c>
      <c r="K322" t="s">
        <v>580</v>
      </c>
      <c r="L322" s="5" t="s">
        <v>584</v>
      </c>
      <c r="M322" s="5" t="s">
        <v>585</v>
      </c>
      <c r="N322" s="7" t="str">
        <f t="shared" si="20"/>
        <v>2025</v>
      </c>
      <c r="O322" s="7" t="str">
        <f t="shared" si="21"/>
        <v>Mar</v>
      </c>
      <c r="P322" s="7" t="str">
        <f t="shared" si="22"/>
        <v>Wed</v>
      </c>
      <c r="Q322" t="str">
        <f t="shared" si="23"/>
        <v>Discounted</v>
      </c>
      <c r="R322" t="str">
        <f t="shared" si="24"/>
        <v>No Action</v>
      </c>
    </row>
    <row r="323" spans="1:18" x14ac:dyDescent="0.25">
      <c r="A323" s="4">
        <v>1322</v>
      </c>
      <c r="B323" s="5" t="s">
        <v>334</v>
      </c>
      <c r="C323" s="5" t="s">
        <v>514</v>
      </c>
      <c r="D323" s="5" t="s">
        <v>545</v>
      </c>
      <c r="E323" s="5" t="s">
        <v>568</v>
      </c>
      <c r="F323" s="5" t="s">
        <v>577</v>
      </c>
      <c r="G323" s="4">
        <v>1</v>
      </c>
      <c r="H323" s="4">
        <v>105</v>
      </c>
      <c r="I323" s="4">
        <v>15</v>
      </c>
      <c r="J323" s="6">
        <v>45932</v>
      </c>
      <c r="K323" t="s">
        <v>581</v>
      </c>
      <c r="L323" s="5" t="s">
        <v>583</v>
      </c>
      <c r="M323" s="5" t="s">
        <v>586</v>
      </c>
      <c r="N323" s="7" t="str">
        <f t="shared" ref="N323:N386" si="25">TEXT(J323,"YYYY")</f>
        <v>2025</v>
      </c>
      <c r="O323" s="7" t="str">
        <f t="shared" ref="O323:O386" si="26">TEXT(J323,"mmm")</f>
        <v>Oct</v>
      </c>
      <c r="P323" s="7" t="str">
        <f t="shared" ref="P323:P386" si="27">TEXT(J323,"ddd")</f>
        <v>Thu</v>
      </c>
      <c r="Q323" t="str">
        <f t="shared" ref="Q323:Q386" si="28">IF(I323&gt;0,"Discounted","Full Price")</f>
        <v>Discounted</v>
      </c>
      <c r="R323" t="str">
        <f t="shared" ref="R323:R386" si="29">IF(M323="Yes","Check Return Policy","No Action")</f>
        <v>Check Return Policy</v>
      </c>
    </row>
    <row r="324" spans="1:18" x14ac:dyDescent="0.25">
      <c r="A324" s="4">
        <v>1323</v>
      </c>
      <c r="B324" s="5" t="s">
        <v>335</v>
      </c>
      <c r="C324" s="5" t="s">
        <v>512</v>
      </c>
      <c r="D324" s="5" t="s">
        <v>533</v>
      </c>
      <c r="E324" s="5" t="s">
        <v>570</v>
      </c>
      <c r="F324" s="5" t="s">
        <v>575</v>
      </c>
      <c r="G324" s="4">
        <v>13</v>
      </c>
      <c r="H324" s="4">
        <v>13</v>
      </c>
      <c r="I324" s="4">
        <v>10</v>
      </c>
      <c r="J324" s="6">
        <v>45736</v>
      </c>
      <c r="K324" t="s">
        <v>578</v>
      </c>
      <c r="L324" s="5" t="s">
        <v>582</v>
      </c>
      <c r="M324" s="5" t="s">
        <v>585</v>
      </c>
      <c r="N324" s="7" t="str">
        <f t="shared" si="25"/>
        <v>2025</v>
      </c>
      <c r="O324" s="7" t="str">
        <f t="shared" si="26"/>
        <v>Mar</v>
      </c>
      <c r="P324" s="7" t="str">
        <f t="shared" si="27"/>
        <v>Thu</v>
      </c>
      <c r="Q324" t="str">
        <f t="shared" si="28"/>
        <v>Discounted</v>
      </c>
      <c r="R324" t="str">
        <f t="shared" si="29"/>
        <v>No Action</v>
      </c>
    </row>
    <row r="325" spans="1:18" x14ac:dyDescent="0.25">
      <c r="A325" s="4">
        <v>1324</v>
      </c>
      <c r="B325" s="5" t="s">
        <v>336</v>
      </c>
      <c r="C325" s="5" t="s">
        <v>514</v>
      </c>
      <c r="D325" s="5" t="s">
        <v>563</v>
      </c>
      <c r="E325" s="5" t="s">
        <v>573</v>
      </c>
      <c r="F325" s="5" t="s">
        <v>576</v>
      </c>
      <c r="G325" s="4">
        <v>18</v>
      </c>
      <c r="H325" s="4">
        <v>301</v>
      </c>
      <c r="I325" s="4">
        <v>15</v>
      </c>
      <c r="J325" s="6">
        <v>45722</v>
      </c>
      <c r="K325" t="s">
        <v>580</v>
      </c>
      <c r="L325" s="5" t="s">
        <v>584</v>
      </c>
      <c r="M325" s="5" t="s">
        <v>585</v>
      </c>
      <c r="N325" s="7" t="str">
        <f t="shared" si="25"/>
        <v>2025</v>
      </c>
      <c r="O325" s="7" t="str">
        <f t="shared" si="26"/>
        <v>Mar</v>
      </c>
      <c r="P325" s="7" t="str">
        <f t="shared" si="27"/>
        <v>Thu</v>
      </c>
      <c r="Q325" t="str">
        <f t="shared" si="28"/>
        <v>Discounted</v>
      </c>
      <c r="R325" t="str">
        <f t="shared" si="29"/>
        <v>No Action</v>
      </c>
    </row>
    <row r="326" spans="1:18" x14ac:dyDescent="0.25">
      <c r="A326" s="4">
        <v>1325</v>
      </c>
      <c r="B326" s="5" t="s">
        <v>337</v>
      </c>
      <c r="C326" s="5" t="s">
        <v>514</v>
      </c>
      <c r="D326" s="5" t="s">
        <v>553</v>
      </c>
      <c r="E326" s="5" t="s">
        <v>570</v>
      </c>
      <c r="F326" s="5" t="s">
        <v>575</v>
      </c>
      <c r="G326" s="4">
        <v>15</v>
      </c>
      <c r="H326" s="4">
        <v>13</v>
      </c>
      <c r="I326" s="4">
        <v>0</v>
      </c>
      <c r="J326" s="6">
        <v>46011</v>
      </c>
      <c r="K326" t="s">
        <v>579</v>
      </c>
      <c r="L326" s="5" t="s">
        <v>583</v>
      </c>
      <c r="M326" s="5" t="s">
        <v>586</v>
      </c>
      <c r="N326" s="7" t="str">
        <f t="shared" si="25"/>
        <v>2025</v>
      </c>
      <c r="O326" s="7" t="str">
        <f t="shared" si="26"/>
        <v>Dec</v>
      </c>
      <c r="P326" s="7" t="str">
        <f t="shared" si="27"/>
        <v>Sat</v>
      </c>
      <c r="Q326" t="str">
        <f t="shared" si="28"/>
        <v>Full Price</v>
      </c>
      <c r="R326" t="str">
        <f t="shared" si="29"/>
        <v>Check Return Policy</v>
      </c>
    </row>
    <row r="327" spans="1:18" x14ac:dyDescent="0.25">
      <c r="A327" s="4">
        <v>1326</v>
      </c>
      <c r="B327" s="5" t="s">
        <v>338</v>
      </c>
      <c r="C327" s="5" t="s">
        <v>512</v>
      </c>
      <c r="D327" s="5" t="s">
        <v>547</v>
      </c>
      <c r="E327" s="5" t="s">
        <v>565</v>
      </c>
      <c r="F327" s="5" t="s">
        <v>575</v>
      </c>
      <c r="G327" s="4">
        <v>8</v>
      </c>
      <c r="H327" s="4">
        <v>10</v>
      </c>
      <c r="I327" s="4">
        <v>0</v>
      </c>
      <c r="J327" s="6">
        <v>45853</v>
      </c>
      <c r="K327" t="s">
        <v>580</v>
      </c>
      <c r="L327" s="5" t="s">
        <v>584</v>
      </c>
      <c r="M327" s="5" t="s">
        <v>585</v>
      </c>
      <c r="N327" s="7" t="str">
        <f t="shared" si="25"/>
        <v>2025</v>
      </c>
      <c r="O327" s="7" t="str">
        <f t="shared" si="26"/>
        <v>Jul</v>
      </c>
      <c r="P327" s="7" t="str">
        <f t="shared" si="27"/>
        <v>Tue</v>
      </c>
      <c r="Q327" t="str">
        <f t="shared" si="28"/>
        <v>Full Price</v>
      </c>
      <c r="R327" t="str">
        <f t="shared" si="29"/>
        <v>No Action</v>
      </c>
    </row>
    <row r="328" spans="1:18" x14ac:dyDescent="0.25">
      <c r="A328" s="4">
        <v>1327</v>
      </c>
      <c r="B328" s="5" t="s">
        <v>339</v>
      </c>
      <c r="C328" s="5" t="s">
        <v>513</v>
      </c>
      <c r="D328" s="5" t="s">
        <v>517</v>
      </c>
      <c r="E328" s="5" t="s">
        <v>566</v>
      </c>
      <c r="F328" s="5" t="s">
        <v>576</v>
      </c>
      <c r="G328" s="4">
        <v>14</v>
      </c>
      <c r="H328" s="4">
        <v>178</v>
      </c>
      <c r="I328" s="4">
        <v>5</v>
      </c>
      <c r="J328" s="6">
        <v>45723</v>
      </c>
      <c r="K328" t="s">
        <v>579</v>
      </c>
      <c r="L328" s="5" t="s">
        <v>583</v>
      </c>
      <c r="M328" s="5" t="s">
        <v>585</v>
      </c>
      <c r="N328" s="7" t="str">
        <f t="shared" si="25"/>
        <v>2025</v>
      </c>
      <c r="O328" s="7" t="str">
        <f t="shared" si="26"/>
        <v>Mar</v>
      </c>
      <c r="P328" s="7" t="str">
        <f t="shared" si="27"/>
        <v>Fri</v>
      </c>
      <c r="Q328" t="str">
        <f t="shared" si="28"/>
        <v>Discounted</v>
      </c>
      <c r="R328" t="str">
        <f t="shared" si="29"/>
        <v>No Action</v>
      </c>
    </row>
    <row r="329" spans="1:18" x14ac:dyDescent="0.25">
      <c r="A329" s="4">
        <v>1328</v>
      </c>
      <c r="B329" s="5" t="s">
        <v>340</v>
      </c>
      <c r="C329" s="5" t="s">
        <v>513</v>
      </c>
      <c r="D329" s="5" t="s">
        <v>538</v>
      </c>
      <c r="E329" s="5" t="s">
        <v>569</v>
      </c>
      <c r="F329" s="5" t="s">
        <v>576</v>
      </c>
      <c r="G329" s="4">
        <v>3</v>
      </c>
      <c r="H329" s="4">
        <v>421</v>
      </c>
      <c r="I329" s="4">
        <v>10</v>
      </c>
      <c r="J329" s="6">
        <v>45786</v>
      </c>
      <c r="K329" t="s">
        <v>580</v>
      </c>
      <c r="L329" s="5" t="s">
        <v>583</v>
      </c>
      <c r="M329" s="5" t="s">
        <v>586</v>
      </c>
      <c r="N329" s="7" t="str">
        <f t="shared" si="25"/>
        <v>2025</v>
      </c>
      <c r="O329" s="7" t="str">
        <f t="shared" si="26"/>
        <v>May</v>
      </c>
      <c r="P329" s="7" t="str">
        <f t="shared" si="27"/>
        <v>Fri</v>
      </c>
      <c r="Q329" t="str">
        <f t="shared" si="28"/>
        <v>Discounted</v>
      </c>
      <c r="R329" t="str">
        <f t="shared" si="29"/>
        <v>Check Return Policy</v>
      </c>
    </row>
    <row r="330" spans="1:18" x14ac:dyDescent="0.25">
      <c r="A330" s="4">
        <v>1329</v>
      </c>
      <c r="B330" s="5" t="s">
        <v>341</v>
      </c>
      <c r="C330" s="5" t="s">
        <v>514</v>
      </c>
      <c r="D330" s="5" t="s">
        <v>552</v>
      </c>
      <c r="E330" s="5" t="s">
        <v>565</v>
      </c>
      <c r="F330" s="5" t="s">
        <v>575</v>
      </c>
      <c r="G330" s="4">
        <v>3</v>
      </c>
      <c r="H330" s="4">
        <v>9</v>
      </c>
      <c r="I330" s="4">
        <v>10</v>
      </c>
      <c r="J330" s="6">
        <v>45792</v>
      </c>
      <c r="K330" t="s">
        <v>579</v>
      </c>
      <c r="L330" s="5" t="s">
        <v>583</v>
      </c>
      <c r="M330" s="5" t="s">
        <v>585</v>
      </c>
      <c r="N330" s="7" t="str">
        <f t="shared" si="25"/>
        <v>2025</v>
      </c>
      <c r="O330" s="7" t="str">
        <f t="shared" si="26"/>
        <v>May</v>
      </c>
      <c r="P330" s="7" t="str">
        <f t="shared" si="27"/>
        <v>Thu</v>
      </c>
      <c r="Q330" t="str">
        <f t="shared" si="28"/>
        <v>Discounted</v>
      </c>
      <c r="R330" t="str">
        <f t="shared" si="29"/>
        <v>No Action</v>
      </c>
    </row>
    <row r="331" spans="1:18" x14ac:dyDescent="0.25">
      <c r="A331" s="4">
        <v>1330</v>
      </c>
      <c r="B331" s="5" t="s">
        <v>342</v>
      </c>
      <c r="C331" s="5" t="s">
        <v>511</v>
      </c>
      <c r="D331" s="5" t="s">
        <v>526</v>
      </c>
      <c r="E331" s="5" t="s">
        <v>573</v>
      </c>
      <c r="F331" s="5" t="s">
        <v>576</v>
      </c>
      <c r="G331" s="4">
        <v>18</v>
      </c>
      <c r="H331" s="4">
        <v>308</v>
      </c>
      <c r="I331" s="4">
        <v>10</v>
      </c>
      <c r="J331" s="6">
        <v>45998</v>
      </c>
      <c r="K331" t="s">
        <v>581</v>
      </c>
      <c r="L331" s="5" t="s">
        <v>583</v>
      </c>
      <c r="M331" s="5" t="s">
        <v>586</v>
      </c>
      <c r="N331" s="7" t="str">
        <f t="shared" si="25"/>
        <v>2025</v>
      </c>
      <c r="O331" s="7" t="str">
        <f t="shared" si="26"/>
        <v>Dec</v>
      </c>
      <c r="P331" s="7" t="str">
        <f t="shared" si="27"/>
        <v>Sun</v>
      </c>
      <c r="Q331" t="str">
        <f t="shared" si="28"/>
        <v>Discounted</v>
      </c>
      <c r="R331" t="str">
        <f t="shared" si="29"/>
        <v>Check Return Policy</v>
      </c>
    </row>
    <row r="332" spans="1:18" x14ac:dyDescent="0.25">
      <c r="A332" s="4">
        <v>1331</v>
      </c>
      <c r="B332" s="5" t="s">
        <v>343</v>
      </c>
      <c r="C332" s="5" t="s">
        <v>512</v>
      </c>
      <c r="D332" s="5" t="s">
        <v>523</v>
      </c>
      <c r="E332" s="5" t="s">
        <v>566</v>
      </c>
      <c r="F332" s="5" t="s">
        <v>576</v>
      </c>
      <c r="G332" s="4">
        <v>3</v>
      </c>
      <c r="H332" s="4">
        <v>103</v>
      </c>
      <c r="I332" s="4">
        <v>10</v>
      </c>
      <c r="J332" s="6">
        <v>45862</v>
      </c>
      <c r="K332" t="s">
        <v>578</v>
      </c>
      <c r="L332" s="5" t="s">
        <v>583</v>
      </c>
      <c r="M332" s="5" t="s">
        <v>586</v>
      </c>
      <c r="N332" s="7" t="str">
        <f t="shared" si="25"/>
        <v>2025</v>
      </c>
      <c r="O332" s="7" t="str">
        <f t="shared" si="26"/>
        <v>Jul</v>
      </c>
      <c r="P332" s="7" t="str">
        <f t="shared" si="27"/>
        <v>Thu</v>
      </c>
      <c r="Q332" t="str">
        <f t="shared" si="28"/>
        <v>Discounted</v>
      </c>
      <c r="R332" t="str">
        <f t="shared" si="29"/>
        <v>Check Return Policy</v>
      </c>
    </row>
    <row r="333" spans="1:18" x14ac:dyDescent="0.25">
      <c r="A333" s="4">
        <v>1332</v>
      </c>
      <c r="B333" s="5" t="s">
        <v>344</v>
      </c>
      <c r="C333" s="5" t="s">
        <v>512</v>
      </c>
      <c r="D333" s="5" t="s">
        <v>557</v>
      </c>
      <c r="E333" s="5" t="s">
        <v>568</v>
      </c>
      <c r="F333" s="5" t="s">
        <v>577</v>
      </c>
      <c r="G333" s="4">
        <v>11</v>
      </c>
      <c r="H333" s="4">
        <v>192</v>
      </c>
      <c r="I333" s="4">
        <v>10</v>
      </c>
      <c r="J333" s="6">
        <v>46000</v>
      </c>
      <c r="K333" t="s">
        <v>580</v>
      </c>
      <c r="L333" s="5" t="s">
        <v>582</v>
      </c>
      <c r="M333" s="5" t="s">
        <v>586</v>
      </c>
      <c r="N333" s="7" t="str">
        <f t="shared" si="25"/>
        <v>2025</v>
      </c>
      <c r="O333" s="7" t="str">
        <f t="shared" si="26"/>
        <v>Dec</v>
      </c>
      <c r="P333" s="7" t="str">
        <f t="shared" si="27"/>
        <v>Tue</v>
      </c>
      <c r="Q333" t="str">
        <f t="shared" si="28"/>
        <v>Discounted</v>
      </c>
      <c r="R333" t="str">
        <f t="shared" si="29"/>
        <v>Check Return Policy</v>
      </c>
    </row>
    <row r="334" spans="1:18" x14ac:dyDescent="0.25">
      <c r="A334" s="4">
        <v>1333</v>
      </c>
      <c r="B334" s="5" t="s">
        <v>345</v>
      </c>
      <c r="C334" s="5" t="s">
        <v>514</v>
      </c>
      <c r="D334" s="5" t="s">
        <v>555</v>
      </c>
      <c r="E334" s="5" t="s">
        <v>571</v>
      </c>
      <c r="F334" s="5" t="s">
        <v>577</v>
      </c>
      <c r="G334" s="4">
        <v>19</v>
      </c>
      <c r="H334" s="4">
        <v>284</v>
      </c>
      <c r="I334" s="4">
        <v>5</v>
      </c>
      <c r="J334" s="6">
        <v>45751</v>
      </c>
      <c r="K334" t="s">
        <v>581</v>
      </c>
      <c r="L334" s="5" t="s">
        <v>583</v>
      </c>
      <c r="M334" s="5" t="s">
        <v>585</v>
      </c>
      <c r="N334" s="7" t="str">
        <f t="shared" si="25"/>
        <v>2025</v>
      </c>
      <c r="O334" s="7" t="str">
        <f t="shared" si="26"/>
        <v>Apr</v>
      </c>
      <c r="P334" s="7" t="str">
        <f t="shared" si="27"/>
        <v>Fri</v>
      </c>
      <c r="Q334" t="str">
        <f t="shared" si="28"/>
        <v>Discounted</v>
      </c>
      <c r="R334" t="str">
        <f t="shared" si="29"/>
        <v>No Action</v>
      </c>
    </row>
    <row r="335" spans="1:18" x14ac:dyDescent="0.25">
      <c r="A335" s="4">
        <v>1334</v>
      </c>
      <c r="B335" s="5" t="s">
        <v>346</v>
      </c>
      <c r="C335" s="5" t="s">
        <v>513</v>
      </c>
      <c r="D335" s="5" t="s">
        <v>534</v>
      </c>
      <c r="E335" s="5" t="s">
        <v>569</v>
      </c>
      <c r="F335" s="5" t="s">
        <v>576</v>
      </c>
      <c r="G335" s="4">
        <v>18</v>
      </c>
      <c r="H335" s="4">
        <v>592</v>
      </c>
      <c r="I335" s="4">
        <v>0</v>
      </c>
      <c r="J335" s="6">
        <v>45866</v>
      </c>
      <c r="K335" t="s">
        <v>579</v>
      </c>
      <c r="L335" s="5" t="s">
        <v>584</v>
      </c>
      <c r="M335" s="5" t="s">
        <v>585</v>
      </c>
      <c r="N335" s="7" t="str">
        <f t="shared" si="25"/>
        <v>2025</v>
      </c>
      <c r="O335" s="7" t="str">
        <f t="shared" si="26"/>
        <v>Jul</v>
      </c>
      <c r="P335" s="7" t="str">
        <f t="shared" si="27"/>
        <v>Mon</v>
      </c>
      <c r="Q335" t="str">
        <f t="shared" si="28"/>
        <v>Full Price</v>
      </c>
      <c r="R335" t="str">
        <f t="shared" si="29"/>
        <v>No Action</v>
      </c>
    </row>
    <row r="336" spans="1:18" x14ac:dyDescent="0.25">
      <c r="A336" s="4">
        <v>1335</v>
      </c>
      <c r="B336" s="5" t="s">
        <v>347</v>
      </c>
      <c r="C336" s="5" t="s">
        <v>513</v>
      </c>
      <c r="D336" s="5" t="s">
        <v>539</v>
      </c>
      <c r="E336" s="5" t="s">
        <v>567</v>
      </c>
      <c r="F336" s="5" t="s">
        <v>576</v>
      </c>
      <c r="G336" s="4">
        <v>10</v>
      </c>
      <c r="H336" s="4">
        <v>1197</v>
      </c>
      <c r="I336" s="4">
        <v>5</v>
      </c>
      <c r="J336" s="6">
        <v>45969</v>
      </c>
      <c r="K336" t="s">
        <v>579</v>
      </c>
      <c r="L336" s="5" t="s">
        <v>582</v>
      </c>
      <c r="M336" s="5" t="s">
        <v>585</v>
      </c>
      <c r="N336" s="7" t="str">
        <f t="shared" si="25"/>
        <v>2025</v>
      </c>
      <c r="O336" s="7" t="str">
        <f t="shared" si="26"/>
        <v>Nov</v>
      </c>
      <c r="P336" s="7" t="str">
        <f t="shared" si="27"/>
        <v>Sat</v>
      </c>
      <c r="Q336" t="str">
        <f t="shared" si="28"/>
        <v>Discounted</v>
      </c>
      <c r="R336" t="str">
        <f t="shared" si="29"/>
        <v>No Action</v>
      </c>
    </row>
    <row r="337" spans="1:18" x14ac:dyDescent="0.25">
      <c r="A337" s="4">
        <v>1336</v>
      </c>
      <c r="B337" s="5" t="s">
        <v>348</v>
      </c>
      <c r="C337" s="5" t="s">
        <v>514</v>
      </c>
      <c r="D337" s="5" t="s">
        <v>541</v>
      </c>
      <c r="E337" s="5" t="s">
        <v>573</v>
      </c>
      <c r="F337" s="5" t="s">
        <v>576</v>
      </c>
      <c r="G337" s="4">
        <v>11</v>
      </c>
      <c r="H337" s="4">
        <v>223</v>
      </c>
      <c r="I337" s="4">
        <v>5</v>
      </c>
      <c r="J337" s="6">
        <v>45691</v>
      </c>
      <c r="K337" t="s">
        <v>578</v>
      </c>
      <c r="L337" s="5" t="s">
        <v>582</v>
      </c>
      <c r="M337" s="5" t="s">
        <v>585</v>
      </c>
      <c r="N337" s="7" t="str">
        <f t="shared" si="25"/>
        <v>2025</v>
      </c>
      <c r="O337" s="7" t="str">
        <f t="shared" si="26"/>
        <v>Feb</v>
      </c>
      <c r="P337" s="7" t="str">
        <f t="shared" si="27"/>
        <v>Mon</v>
      </c>
      <c r="Q337" t="str">
        <f t="shared" si="28"/>
        <v>Discounted</v>
      </c>
      <c r="R337" t="str">
        <f t="shared" si="29"/>
        <v>No Action</v>
      </c>
    </row>
    <row r="338" spans="1:18" x14ac:dyDescent="0.25">
      <c r="A338" s="4">
        <v>1337</v>
      </c>
      <c r="B338" s="5" t="s">
        <v>349</v>
      </c>
      <c r="C338" s="5" t="s">
        <v>511</v>
      </c>
      <c r="D338" s="5" t="s">
        <v>526</v>
      </c>
      <c r="E338" s="5" t="s">
        <v>568</v>
      </c>
      <c r="F338" s="5" t="s">
        <v>577</v>
      </c>
      <c r="G338" s="4">
        <v>20</v>
      </c>
      <c r="H338" s="4">
        <v>483</v>
      </c>
      <c r="I338" s="4">
        <v>5</v>
      </c>
      <c r="J338" s="6">
        <v>45947</v>
      </c>
      <c r="K338" t="s">
        <v>580</v>
      </c>
      <c r="L338" s="5" t="s">
        <v>583</v>
      </c>
      <c r="M338" s="5" t="s">
        <v>586</v>
      </c>
      <c r="N338" s="7" t="str">
        <f t="shared" si="25"/>
        <v>2025</v>
      </c>
      <c r="O338" s="7" t="str">
        <f t="shared" si="26"/>
        <v>Oct</v>
      </c>
      <c r="P338" s="7" t="str">
        <f t="shared" si="27"/>
        <v>Fri</v>
      </c>
      <c r="Q338" t="str">
        <f t="shared" si="28"/>
        <v>Discounted</v>
      </c>
      <c r="R338" t="str">
        <f t="shared" si="29"/>
        <v>Check Return Policy</v>
      </c>
    </row>
    <row r="339" spans="1:18" x14ac:dyDescent="0.25">
      <c r="A339" s="4">
        <v>1338</v>
      </c>
      <c r="B339" s="5" t="s">
        <v>350</v>
      </c>
      <c r="C339" s="5" t="s">
        <v>513</v>
      </c>
      <c r="D339" s="5" t="s">
        <v>515</v>
      </c>
      <c r="E339" s="5" t="s">
        <v>568</v>
      </c>
      <c r="F339" s="5" t="s">
        <v>577</v>
      </c>
      <c r="G339" s="4">
        <v>6</v>
      </c>
      <c r="H339" s="4">
        <v>125</v>
      </c>
      <c r="I339" s="4">
        <v>10</v>
      </c>
      <c r="J339" s="6">
        <v>45871</v>
      </c>
      <c r="K339" t="s">
        <v>578</v>
      </c>
      <c r="L339" s="5" t="s">
        <v>582</v>
      </c>
      <c r="M339" s="5" t="s">
        <v>586</v>
      </c>
      <c r="N339" s="7" t="str">
        <f t="shared" si="25"/>
        <v>2025</v>
      </c>
      <c r="O339" s="7" t="str">
        <f t="shared" si="26"/>
        <v>Aug</v>
      </c>
      <c r="P339" s="7" t="str">
        <f t="shared" si="27"/>
        <v>Sat</v>
      </c>
      <c r="Q339" t="str">
        <f t="shared" si="28"/>
        <v>Discounted</v>
      </c>
      <c r="R339" t="str">
        <f t="shared" si="29"/>
        <v>Check Return Policy</v>
      </c>
    </row>
    <row r="340" spans="1:18" x14ac:dyDescent="0.25">
      <c r="A340" s="4">
        <v>1339</v>
      </c>
      <c r="B340" s="5" t="s">
        <v>351</v>
      </c>
      <c r="C340" s="5" t="s">
        <v>514</v>
      </c>
      <c r="D340" s="5" t="s">
        <v>516</v>
      </c>
      <c r="E340" s="5" t="s">
        <v>567</v>
      </c>
      <c r="F340" s="5" t="s">
        <v>576</v>
      </c>
      <c r="G340" s="4">
        <v>11</v>
      </c>
      <c r="H340" s="4">
        <v>1049</v>
      </c>
      <c r="I340" s="4">
        <v>0</v>
      </c>
      <c r="J340" s="6">
        <v>45806</v>
      </c>
      <c r="K340" t="s">
        <v>579</v>
      </c>
      <c r="L340" s="5" t="s">
        <v>583</v>
      </c>
      <c r="M340" s="5" t="s">
        <v>585</v>
      </c>
      <c r="N340" s="7" t="str">
        <f t="shared" si="25"/>
        <v>2025</v>
      </c>
      <c r="O340" s="7" t="str">
        <f t="shared" si="26"/>
        <v>May</v>
      </c>
      <c r="P340" s="7" t="str">
        <f t="shared" si="27"/>
        <v>Thu</v>
      </c>
      <c r="Q340" t="str">
        <f t="shared" si="28"/>
        <v>Full Price</v>
      </c>
      <c r="R340" t="str">
        <f t="shared" si="29"/>
        <v>No Action</v>
      </c>
    </row>
    <row r="341" spans="1:18" x14ac:dyDescent="0.25">
      <c r="A341" s="4">
        <v>1340</v>
      </c>
      <c r="B341" s="5" t="s">
        <v>352</v>
      </c>
      <c r="C341" s="5" t="s">
        <v>511</v>
      </c>
      <c r="D341" s="5" t="s">
        <v>515</v>
      </c>
      <c r="E341" s="5" t="s">
        <v>568</v>
      </c>
      <c r="F341" s="5" t="s">
        <v>577</v>
      </c>
      <c r="G341" s="4">
        <v>6</v>
      </c>
      <c r="H341" s="4">
        <v>271</v>
      </c>
      <c r="I341" s="4">
        <v>5</v>
      </c>
      <c r="J341" s="6">
        <v>45841</v>
      </c>
      <c r="K341" t="s">
        <v>579</v>
      </c>
      <c r="L341" s="5" t="s">
        <v>584</v>
      </c>
      <c r="M341" s="5" t="s">
        <v>586</v>
      </c>
      <c r="N341" s="7" t="str">
        <f t="shared" si="25"/>
        <v>2025</v>
      </c>
      <c r="O341" s="7" t="str">
        <f t="shared" si="26"/>
        <v>Jul</v>
      </c>
      <c r="P341" s="7" t="str">
        <f t="shared" si="27"/>
        <v>Thu</v>
      </c>
      <c r="Q341" t="str">
        <f t="shared" si="28"/>
        <v>Discounted</v>
      </c>
      <c r="R341" t="str">
        <f t="shared" si="29"/>
        <v>Check Return Policy</v>
      </c>
    </row>
    <row r="342" spans="1:18" x14ac:dyDescent="0.25">
      <c r="A342" s="4">
        <v>1341</v>
      </c>
      <c r="B342" s="5" t="s">
        <v>353</v>
      </c>
      <c r="C342" s="5" t="s">
        <v>512</v>
      </c>
      <c r="D342" s="5" t="s">
        <v>528</v>
      </c>
      <c r="E342" s="5" t="s">
        <v>574</v>
      </c>
      <c r="F342" s="5" t="s">
        <v>576</v>
      </c>
      <c r="G342" s="4">
        <v>1</v>
      </c>
      <c r="H342" s="4">
        <v>108</v>
      </c>
      <c r="I342" s="4">
        <v>10</v>
      </c>
      <c r="J342" s="6">
        <v>45901</v>
      </c>
      <c r="K342" t="s">
        <v>580</v>
      </c>
      <c r="L342" s="5" t="s">
        <v>583</v>
      </c>
      <c r="M342" s="5" t="s">
        <v>585</v>
      </c>
      <c r="N342" s="7" t="str">
        <f t="shared" si="25"/>
        <v>2025</v>
      </c>
      <c r="O342" s="7" t="str">
        <f t="shared" si="26"/>
        <v>Sep</v>
      </c>
      <c r="P342" s="7" t="str">
        <f t="shared" si="27"/>
        <v>Mon</v>
      </c>
      <c r="Q342" t="str">
        <f t="shared" si="28"/>
        <v>Discounted</v>
      </c>
      <c r="R342" t="str">
        <f t="shared" si="29"/>
        <v>No Action</v>
      </c>
    </row>
    <row r="343" spans="1:18" x14ac:dyDescent="0.25">
      <c r="A343" s="4">
        <v>1342</v>
      </c>
      <c r="B343" s="5" t="s">
        <v>354</v>
      </c>
      <c r="C343" s="5" t="s">
        <v>513</v>
      </c>
      <c r="D343" s="5" t="s">
        <v>546</v>
      </c>
      <c r="E343" s="5" t="s">
        <v>571</v>
      </c>
      <c r="F343" s="5" t="s">
        <v>577</v>
      </c>
      <c r="G343" s="4">
        <v>13</v>
      </c>
      <c r="H343" s="4">
        <v>140</v>
      </c>
      <c r="I343" s="4">
        <v>5</v>
      </c>
      <c r="J343" s="6">
        <v>45905</v>
      </c>
      <c r="K343" t="s">
        <v>578</v>
      </c>
      <c r="L343" s="5" t="s">
        <v>582</v>
      </c>
      <c r="M343" s="5" t="s">
        <v>586</v>
      </c>
      <c r="N343" s="7" t="str">
        <f t="shared" si="25"/>
        <v>2025</v>
      </c>
      <c r="O343" s="7" t="str">
        <f t="shared" si="26"/>
        <v>Sep</v>
      </c>
      <c r="P343" s="7" t="str">
        <f t="shared" si="27"/>
        <v>Fri</v>
      </c>
      <c r="Q343" t="str">
        <f t="shared" si="28"/>
        <v>Discounted</v>
      </c>
      <c r="R343" t="str">
        <f t="shared" si="29"/>
        <v>Check Return Policy</v>
      </c>
    </row>
    <row r="344" spans="1:18" x14ac:dyDescent="0.25">
      <c r="A344" s="4">
        <v>1343</v>
      </c>
      <c r="B344" s="5" t="s">
        <v>355</v>
      </c>
      <c r="C344" s="5" t="s">
        <v>511</v>
      </c>
      <c r="D344" s="5" t="s">
        <v>523</v>
      </c>
      <c r="E344" s="5" t="s">
        <v>569</v>
      </c>
      <c r="F344" s="5" t="s">
        <v>576</v>
      </c>
      <c r="G344" s="4">
        <v>16</v>
      </c>
      <c r="H344" s="4">
        <v>575</v>
      </c>
      <c r="I344" s="4">
        <v>10</v>
      </c>
      <c r="J344" s="6">
        <v>45789</v>
      </c>
      <c r="K344" t="s">
        <v>579</v>
      </c>
      <c r="L344" s="5" t="s">
        <v>584</v>
      </c>
      <c r="M344" s="5" t="s">
        <v>586</v>
      </c>
      <c r="N344" s="7" t="str">
        <f t="shared" si="25"/>
        <v>2025</v>
      </c>
      <c r="O344" s="7" t="str">
        <f t="shared" si="26"/>
        <v>May</v>
      </c>
      <c r="P344" s="7" t="str">
        <f t="shared" si="27"/>
        <v>Mon</v>
      </c>
      <c r="Q344" t="str">
        <f t="shared" si="28"/>
        <v>Discounted</v>
      </c>
      <c r="R344" t="str">
        <f t="shared" si="29"/>
        <v>Check Return Policy</v>
      </c>
    </row>
    <row r="345" spans="1:18" x14ac:dyDescent="0.25">
      <c r="A345" s="4">
        <v>1344</v>
      </c>
      <c r="B345" s="5" t="s">
        <v>356</v>
      </c>
      <c r="C345" s="5" t="s">
        <v>512</v>
      </c>
      <c r="D345" s="5" t="s">
        <v>551</v>
      </c>
      <c r="E345" s="5" t="s">
        <v>567</v>
      </c>
      <c r="F345" s="5" t="s">
        <v>576</v>
      </c>
      <c r="G345" s="4">
        <v>16</v>
      </c>
      <c r="H345" s="4">
        <v>889</v>
      </c>
      <c r="I345" s="4">
        <v>10</v>
      </c>
      <c r="J345" s="6">
        <v>46010</v>
      </c>
      <c r="K345" t="s">
        <v>580</v>
      </c>
      <c r="L345" s="5" t="s">
        <v>584</v>
      </c>
      <c r="M345" s="5" t="s">
        <v>585</v>
      </c>
      <c r="N345" s="7" t="str">
        <f t="shared" si="25"/>
        <v>2025</v>
      </c>
      <c r="O345" s="7" t="str">
        <f t="shared" si="26"/>
        <v>Dec</v>
      </c>
      <c r="P345" s="7" t="str">
        <f t="shared" si="27"/>
        <v>Fri</v>
      </c>
      <c r="Q345" t="str">
        <f t="shared" si="28"/>
        <v>Discounted</v>
      </c>
      <c r="R345" t="str">
        <f t="shared" si="29"/>
        <v>No Action</v>
      </c>
    </row>
    <row r="346" spans="1:18" x14ac:dyDescent="0.25">
      <c r="A346" s="4">
        <v>1345</v>
      </c>
      <c r="B346" s="5" t="s">
        <v>357</v>
      </c>
      <c r="C346" s="5" t="s">
        <v>511</v>
      </c>
      <c r="D346" s="5" t="s">
        <v>548</v>
      </c>
      <c r="E346" s="5" t="s">
        <v>566</v>
      </c>
      <c r="F346" s="5" t="s">
        <v>576</v>
      </c>
      <c r="G346" s="4">
        <v>2</v>
      </c>
      <c r="H346" s="4">
        <v>450</v>
      </c>
      <c r="I346" s="4">
        <v>5</v>
      </c>
      <c r="J346" s="6">
        <v>45800</v>
      </c>
      <c r="K346" t="s">
        <v>578</v>
      </c>
      <c r="L346" s="5" t="s">
        <v>584</v>
      </c>
      <c r="M346" s="5" t="s">
        <v>585</v>
      </c>
      <c r="N346" s="7" t="str">
        <f t="shared" si="25"/>
        <v>2025</v>
      </c>
      <c r="O346" s="7" t="str">
        <f t="shared" si="26"/>
        <v>May</v>
      </c>
      <c r="P346" s="7" t="str">
        <f t="shared" si="27"/>
        <v>Fri</v>
      </c>
      <c r="Q346" t="str">
        <f t="shared" si="28"/>
        <v>Discounted</v>
      </c>
      <c r="R346" t="str">
        <f t="shared" si="29"/>
        <v>No Action</v>
      </c>
    </row>
    <row r="347" spans="1:18" x14ac:dyDescent="0.25">
      <c r="A347" s="4">
        <v>1346</v>
      </c>
      <c r="B347" s="5" t="s">
        <v>358</v>
      </c>
      <c r="C347" s="5" t="s">
        <v>511</v>
      </c>
      <c r="D347" s="5" t="s">
        <v>527</v>
      </c>
      <c r="E347" s="5" t="s">
        <v>572</v>
      </c>
      <c r="F347" s="5" t="s">
        <v>577</v>
      </c>
      <c r="G347" s="4">
        <v>17</v>
      </c>
      <c r="H347" s="4">
        <v>71</v>
      </c>
      <c r="I347" s="4">
        <v>15</v>
      </c>
      <c r="J347" s="6">
        <v>46019</v>
      </c>
      <c r="K347" t="s">
        <v>579</v>
      </c>
      <c r="L347" s="5" t="s">
        <v>582</v>
      </c>
      <c r="M347" s="5" t="s">
        <v>585</v>
      </c>
      <c r="N347" s="7" t="str">
        <f t="shared" si="25"/>
        <v>2025</v>
      </c>
      <c r="O347" s="7" t="str">
        <f t="shared" si="26"/>
        <v>Dec</v>
      </c>
      <c r="P347" s="7" t="str">
        <f t="shared" si="27"/>
        <v>Sun</v>
      </c>
      <c r="Q347" t="str">
        <f t="shared" si="28"/>
        <v>Discounted</v>
      </c>
      <c r="R347" t="str">
        <f t="shared" si="29"/>
        <v>No Action</v>
      </c>
    </row>
    <row r="348" spans="1:18" x14ac:dyDescent="0.25">
      <c r="A348" s="4">
        <v>1347</v>
      </c>
      <c r="B348" s="5" t="s">
        <v>359</v>
      </c>
      <c r="C348" s="5" t="s">
        <v>512</v>
      </c>
      <c r="D348" s="5" t="s">
        <v>552</v>
      </c>
      <c r="E348" s="5" t="s">
        <v>566</v>
      </c>
      <c r="F348" s="5" t="s">
        <v>576</v>
      </c>
      <c r="G348" s="4">
        <v>9</v>
      </c>
      <c r="H348" s="4">
        <v>422</v>
      </c>
      <c r="I348" s="4">
        <v>15</v>
      </c>
      <c r="J348" s="6">
        <v>46005</v>
      </c>
      <c r="K348" t="s">
        <v>578</v>
      </c>
      <c r="L348" s="5" t="s">
        <v>583</v>
      </c>
      <c r="M348" s="5" t="s">
        <v>586</v>
      </c>
      <c r="N348" s="7" t="str">
        <f t="shared" si="25"/>
        <v>2025</v>
      </c>
      <c r="O348" s="7" t="str">
        <f t="shared" si="26"/>
        <v>Dec</v>
      </c>
      <c r="P348" s="7" t="str">
        <f t="shared" si="27"/>
        <v>Sun</v>
      </c>
      <c r="Q348" t="str">
        <f t="shared" si="28"/>
        <v>Discounted</v>
      </c>
      <c r="R348" t="str">
        <f t="shared" si="29"/>
        <v>Check Return Policy</v>
      </c>
    </row>
    <row r="349" spans="1:18" x14ac:dyDescent="0.25">
      <c r="A349" s="4">
        <v>1348</v>
      </c>
      <c r="B349" s="5" t="s">
        <v>360</v>
      </c>
      <c r="C349" s="5" t="s">
        <v>513</v>
      </c>
      <c r="D349" s="5" t="s">
        <v>550</v>
      </c>
      <c r="E349" s="5" t="s">
        <v>566</v>
      </c>
      <c r="F349" s="5" t="s">
        <v>576</v>
      </c>
      <c r="G349" s="4">
        <v>6</v>
      </c>
      <c r="H349" s="4">
        <v>104</v>
      </c>
      <c r="I349" s="4">
        <v>15</v>
      </c>
      <c r="J349" s="6">
        <v>45817</v>
      </c>
      <c r="K349" t="s">
        <v>580</v>
      </c>
      <c r="L349" s="5" t="s">
        <v>582</v>
      </c>
      <c r="M349" s="5" t="s">
        <v>586</v>
      </c>
      <c r="N349" s="7" t="str">
        <f t="shared" si="25"/>
        <v>2025</v>
      </c>
      <c r="O349" s="7" t="str">
        <f t="shared" si="26"/>
        <v>Jun</v>
      </c>
      <c r="P349" s="7" t="str">
        <f t="shared" si="27"/>
        <v>Mon</v>
      </c>
      <c r="Q349" t="str">
        <f t="shared" si="28"/>
        <v>Discounted</v>
      </c>
      <c r="R349" t="str">
        <f t="shared" si="29"/>
        <v>Check Return Policy</v>
      </c>
    </row>
    <row r="350" spans="1:18" x14ac:dyDescent="0.25">
      <c r="A350" s="4">
        <v>1349</v>
      </c>
      <c r="B350" s="5" t="s">
        <v>361</v>
      </c>
      <c r="C350" s="5" t="s">
        <v>511</v>
      </c>
      <c r="D350" s="5" t="s">
        <v>536</v>
      </c>
      <c r="E350" s="5" t="s">
        <v>565</v>
      </c>
      <c r="F350" s="5" t="s">
        <v>575</v>
      </c>
      <c r="G350" s="4">
        <v>5</v>
      </c>
      <c r="H350" s="4">
        <v>7</v>
      </c>
      <c r="I350" s="4">
        <v>15</v>
      </c>
      <c r="J350" s="6">
        <v>45736</v>
      </c>
      <c r="K350" t="s">
        <v>580</v>
      </c>
      <c r="L350" s="5" t="s">
        <v>584</v>
      </c>
      <c r="M350" s="5" t="s">
        <v>586</v>
      </c>
      <c r="N350" s="7" t="str">
        <f t="shared" si="25"/>
        <v>2025</v>
      </c>
      <c r="O350" s="7" t="str">
        <f t="shared" si="26"/>
        <v>Mar</v>
      </c>
      <c r="P350" s="7" t="str">
        <f t="shared" si="27"/>
        <v>Thu</v>
      </c>
      <c r="Q350" t="str">
        <f t="shared" si="28"/>
        <v>Discounted</v>
      </c>
      <c r="R350" t="str">
        <f t="shared" si="29"/>
        <v>Check Return Policy</v>
      </c>
    </row>
    <row r="351" spans="1:18" x14ac:dyDescent="0.25">
      <c r="A351" s="4">
        <v>1350</v>
      </c>
      <c r="B351" s="5" t="s">
        <v>362</v>
      </c>
      <c r="C351" s="5" t="s">
        <v>514</v>
      </c>
      <c r="D351" s="5" t="s">
        <v>530</v>
      </c>
      <c r="E351" s="5" t="s">
        <v>568</v>
      </c>
      <c r="F351" s="5" t="s">
        <v>577</v>
      </c>
      <c r="G351" s="4">
        <v>18</v>
      </c>
      <c r="H351" s="4">
        <v>500</v>
      </c>
      <c r="I351" s="4">
        <v>5</v>
      </c>
      <c r="J351" s="6">
        <v>45700</v>
      </c>
      <c r="K351" t="s">
        <v>580</v>
      </c>
      <c r="L351" s="5" t="s">
        <v>582</v>
      </c>
      <c r="M351" s="5" t="s">
        <v>586</v>
      </c>
      <c r="N351" s="7" t="str">
        <f t="shared" si="25"/>
        <v>2025</v>
      </c>
      <c r="O351" s="7" t="str">
        <f t="shared" si="26"/>
        <v>Feb</v>
      </c>
      <c r="P351" s="7" t="str">
        <f t="shared" si="27"/>
        <v>Wed</v>
      </c>
      <c r="Q351" t="str">
        <f t="shared" si="28"/>
        <v>Discounted</v>
      </c>
      <c r="R351" t="str">
        <f t="shared" si="29"/>
        <v>Check Return Policy</v>
      </c>
    </row>
    <row r="352" spans="1:18" x14ac:dyDescent="0.25">
      <c r="A352" s="4">
        <v>1351</v>
      </c>
      <c r="B352" s="5" t="s">
        <v>363</v>
      </c>
      <c r="C352" s="5" t="s">
        <v>511</v>
      </c>
      <c r="D352" s="5" t="s">
        <v>525</v>
      </c>
      <c r="E352" s="5" t="s">
        <v>568</v>
      </c>
      <c r="F352" s="5" t="s">
        <v>577</v>
      </c>
      <c r="G352" s="4">
        <v>16</v>
      </c>
      <c r="H352" s="4">
        <v>105</v>
      </c>
      <c r="I352" s="4">
        <v>15</v>
      </c>
      <c r="J352" s="6">
        <v>45987</v>
      </c>
      <c r="K352" t="s">
        <v>578</v>
      </c>
      <c r="L352" s="5" t="s">
        <v>583</v>
      </c>
      <c r="M352" s="5" t="s">
        <v>585</v>
      </c>
      <c r="N352" s="7" t="str">
        <f t="shared" si="25"/>
        <v>2025</v>
      </c>
      <c r="O352" s="7" t="str">
        <f t="shared" si="26"/>
        <v>Nov</v>
      </c>
      <c r="P352" s="7" t="str">
        <f t="shared" si="27"/>
        <v>Wed</v>
      </c>
      <c r="Q352" t="str">
        <f t="shared" si="28"/>
        <v>Discounted</v>
      </c>
      <c r="R352" t="str">
        <f t="shared" si="29"/>
        <v>No Action</v>
      </c>
    </row>
    <row r="353" spans="1:18" x14ac:dyDescent="0.25">
      <c r="A353" s="4">
        <v>1352</v>
      </c>
      <c r="B353" s="5" t="s">
        <v>364</v>
      </c>
      <c r="C353" s="5" t="s">
        <v>512</v>
      </c>
      <c r="D353" s="5" t="s">
        <v>552</v>
      </c>
      <c r="E353" s="5" t="s">
        <v>566</v>
      </c>
      <c r="F353" s="5" t="s">
        <v>576</v>
      </c>
      <c r="G353" s="4">
        <v>6</v>
      </c>
      <c r="H353" s="4">
        <v>136</v>
      </c>
      <c r="I353" s="4">
        <v>15</v>
      </c>
      <c r="J353" s="6">
        <v>45741</v>
      </c>
      <c r="K353" t="s">
        <v>579</v>
      </c>
      <c r="L353" s="5" t="s">
        <v>583</v>
      </c>
      <c r="M353" s="5" t="s">
        <v>585</v>
      </c>
      <c r="N353" s="7" t="str">
        <f t="shared" si="25"/>
        <v>2025</v>
      </c>
      <c r="O353" s="7" t="str">
        <f t="shared" si="26"/>
        <v>Mar</v>
      </c>
      <c r="P353" s="7" t="str">
        <f t="shared" si="27"/>
        <v>Tue</v>
      </c>
      <c r="Q353" t="str">
        <f t="shared" si="28"/>
        <v>Discounted</v>
      </c>
      <c r="R353" t="str">
        <f t="shared" si="29"/>
        <v>No Action</v>
      </c>
    </row>
    <row r="354" spans="1:18" x14ac:dyDescent="0.25">
      <c r="A354" s="4">
        <v>1353</v>
      </c>
      <c r="B354" s="5" t="s">
        <v>365</v>
      </c>
      <c r="C354" s="5" t="s">
        <v>514</v>
      </c>
      <c r="D354" s="5" t="s">
        <v>563</v>
      </c>
      <c r="E354" s="5" t="s">
        <v>570</v>
      </c>
      <c r="F354" s="5" t="s">
        <v>575</v>
      </c>
      <c r="G354" s="4">
        <v>20</v>
      </c>
      <c r="H354" s="4">
        <v>4</v>
      </c>
      <c r="I354" s="4">
        <v>15</v>
      </c>
      <c r="J354" s="6">
        <v>45863</v>
      </c>
      <c r="K354" t="s">
        <v>579</v>
      </c>
      <c r="L354" s="5" t="s">
        <v>582</v>
      </c>
      <c r="M354" s="5" t="s">
        <v>586</v>
      </c>
      <c r="N354" s="7" t="str">
        <f t="shared" si="25"/>
        <v>2025</v>
      </c>
      <c r="O354" s="7" t="str">
        <f t="shared" si="26"/>
        <v>Jul</v>
      </c>
      <c r="P354" s="7" t="str">
        <f t="shared" si="27"/>
        <v>Fri</v>
      </c>
      <c r="Q354" t="str">
        <f t="shared" si="28"/>
        <v>Discounted</v>
      </c>
      <c r="R354" t="str">
        <f t="shared" si="29"/>
        <v>Check Return Policy</v>
      </c>
    </row>
    <row r="355" spans="1:18" x14ac:dyDescent="0.25">
      <c r="A355" s="4">
        <v>1354</v>
      </c>
      <c r="B355" s="5" t="s">
        <v>366</v>
      </c>
      <c r="C355" s="5" t="s">
        <v>511</v>
      </c>
      <c r="D355" s="5" t="s">
        <v>538</v>
      </c>
      <c r="E355" s="5" t="s">
        <v>571</v>
      </c>
      <c r="F355" s="5" t="s">
        <v>577</v>
      </c>
      <c r="G355" s="4">
        <v>8</v>
      </c>
      <c r="H355" s="4">
        <v>102</v>
      </c>
      <c r="I355" s="4">
        <v>15</v>
      </c>
      <c r="J355" s="6">
        <v>45782</v>
      </c>
      <c r="K355" t="s">
        <v>578</v>
      </c>
      <c r="L355" s="5" t="s">
        <v>583</v>
      </c>
      <c r="M355" s="5" t="s">
        <v>586</v>
      </c>
      <c r="N355" s="7" t="str">
        <f t="shared" si="25"/>
        <v>2025</v>
      </c>
      <c r="O355" s="7" t="str">
        <f t="shared" si="26"/>
        <v>May</v>
      </c>
      <c r="P355" s="7" t="str">
        <f t="shared" si="27"/>
        <v>Mon</v>
      </c>
      <c r="Q355" t="str">
        <f t="shared" si="28"/>
        <v>Discounted</v>
      </c>
      <c r="R355" t="str">
        <f t="shared" si="29"/>
        <v>Check Return Policy</v>
      </c>
    </row>
    <row r="356" spans="1:18" x14ac:dyDescent="0.25">
      <c r="A356" s="4">
        <v>1355</v>
      </c>
      <c r="B356" s="5" t="s">
        <v>367</v>
      </c>
      <c r="C356" s="5" t="s">
        <v>511</v>
      </c>
      <c r="D356" s="5" t="s">
        <v>541</v>
      </c>
      <c r="E356" s="5" t="s">
        <v>565</v>
      </c>
      <c r="F356" s="5" t="s">
        <v>575</v>
      </c>
      <c r="G356" s="4">
        <v>6</v>
      </c>
      <c r="H356" s="4">
        <v>9</v>
      </c>
      <c r="I356" s="4">
        <v>0</v>
      </c>
      <c r="J356" s="6">
        <v>45964</v>
      </c>
      <c r="K356" t="s">
        <v>581</v>
      </c>
      <c r="L356" s="5" t="s">
        <v>582</v>
      </c>
      <c r="M356" s="5" t="s">
        <v>585</v>
      </c>
      <c r="N356" s="7" t="str">
        <f t="shared" si="25"/>
        <v>2025</v>
      </c>
      <c r="O356" s="7" t="str">
        <f t="shared" si="26"/>
        <v>Nov</v>
      </c>
      <c r="P356" s="7" t="str">
        <f t="shared" si="27"/>
        <v>Mon</v>
      </c>
      <c r="Q356" t="str">
        <f t="shared" si="28"/>
        <v>Full Price</v>
      </c>
      <c r="R356" t="str">
        <f t="shared" si="29"/>
        <v>No Action</v>
      </c>
    </row>
    <row r="357" spans="1:18" x14ac:dyDescent="0.25">
      <c r="A357" s="4">
        <v>1356</v>
      </c>
      <c r="B357" s="5" t="s">
        <v>368</v>
      </c>
      <c r="C357" s="5" t="s">
        <v>512</v>
      </c>
      <c r="D357" s="5" t="s">
        <v>537</v>
      </c>
      <c r="E357" s="5" t="s">
        <v>567</v>
      </c>
      <c r="F357" s="5" t="s">
        <v>576</v>
      </c>
      <c r="G357" s="4">
        <v>5</v>
      </c>
      <c r="H357" s="4">
        <v>1204</v>
      </c>
      <c r="I357" s="4">
        <v>5</v>
      </c>
      <c r="J357" s="6">
        <v>45950</v>
      </c>
      <c r="K357" t="s">
        <v>579</v>
      </c>
      <c r="L357" s="5" t="s">
        <v>583</v>
      </c>
      <c r="M357" s="5" t="s">
        <v>586</v>
      </c>
      <c r="N357" s="7" t="str">
        <f t="shared" si="25"/>
        <v>2025</v>
      </c>
      <c r="O357" s="7" t="str">
        <f t="shared" si="26"/>
        <v>Oct</v>
      </c>
      <c r="P357" s="7" t="str">
        <f t="shared" si="27"/>
        <v>Mon</v>
      </c>
      <c r="Q357" t="str">
        <f t="shared" si="28"/>
        <v>Discounted</v>
      </c>
      <c r="R357" t="str">
        <f t="shared" si="29"/>
        <v>Check Return Policy</v>
      </c>
    </row>
    <row r="358" spans="1:18" x14ac:dyDescent="0.25">
      <c r="A358" s="4">
        <v>1357</v>
      </c>
      <c r="B358" s="5" t="s">
        <v>369</v>
      </c>
      <c r="C358" s="5" t="s">
        <v>512</v>
      </c>
      <c r="D358" s="5" t="s">
        <v>531</v>
      </c>
      <c r="E358" s="5" t="s">
        <v>574</v>
      </c>
      <c r="F358" s="5" t="s">
        <v>576</v>
      </c>
      <c r="G358" s="4">
        <v>20</v>
      </c>
      <c r="H358" s="4">
        <v>26</v>
      </c>
      <c r="I358" s="4">
        <v>5</v>
      </c>
      <c r="J358" s="6">
        <v>45993</v>
      </c>
      <c r="K358" t="s">
        <v>579</v>
      </c>
      <c r="L358" s="5" t="s">
        <v>582</v>
      </c>
      <c r="M358" s="5" t="s">
        <v>585</v>
      </c>
      <c r="N358" s="7" t="str">
        <f t="shared" si="25"/>
        <v>2025</v>
      </c>
      <c r="O358" s="7" t="str">
        <f t="shared" si="26"/>
        <v>Dec</v>
      </c>
      <c r="P358" s="7" t="str">
        <f t="shared" si="27"/>
        <v>Tue</v>
      </c>
      <c r="Q358" t="str">
        <f t="shared" si="28"/>
        <v>Discounted</v>
      </c>
      <c r="R358" t="str">
        <f t="shared" si="29"/>
        <v>No Action</v>
      </c>
    </row>
    <row r="359" spans="1:18" x14ac:dyDescent="0.25">
      <c r="A359" s="4">
        <v>1358</v>
      </c>
      <c r="B359" s="5" t="s">
        <v>370</v>
      </c>
      <c r="C359" s="5" t="s">
        <v>514</v>
      </c>
      <c r="D359" s="5" t="s">
        <v>521</v>
      </c>
      <c r="E359" s="5" t="s">
        <v>573</v>
      </c>
      <c r="F359" s="5" t="s">
        <v>576</v>
      </c>
      <c r="G359" s="4">
        <v>5</v>
      </c>
      <c r="H359" s="4">
        <v>354</v>
      </c>
      <c r="I359" s="4">
        <v>5</v>
      </c>
      <c r="J359" s="6">
        <v>45897</v>
      </c>
      <c r="K359" t="s">
        <v>578</v>
      </c>
      <c r="L359" s="5" t="s">
        <v>583</v>
      </c>
      <c r="M359" s="5" t="s">
        <v>586</v>
      </c>
      <c r="N359" s="7" t="str">
        <f t="shared" si="25"/>
        <v>2025</v>
      </c>
      <c r="O359" s="7" t="str">
        <f t="shared" si="26"/>
        <v>Aug</v>
      </c>
      <c r="P359" s="7" t="str">
        <f t="shared" si="27"/>
        <v>Thu</v>
      </c>
      <c r="Q359" t="str">
        <f t="shared" si="28"/>
        <v>Discounted</v>
      </c>
      <c r="R359" t="str">
        <f t="shared" si="29"/>
        <v>Check Return Policy</v>
      </c>
    </row>
    <row r="360" spans="1:18" x14ac:dyDescent="0.25">
      <c r="A360" s="4">
        <v>1359</v>
      </c>
      <c r="B360" s="5" t="s">
        <v>371</v>
      </c>
      <c r="C360" s="5" t="s">
        <v>511</v>
      </c>
      <c r="D360" s="5" t="s">
        <v>527</v>
      </c>
      <c r="E360" s="5" t="s">
        <v>571</v>
      </c>
      <c r="F360" s="5" t="s">
        <v>577</v>
      </c>
      <c r="G360" s="4">
        <v>7</v>
      </c>
      <c r="H360" s="4">
        <v>206</v>
      </c>
      <c r="I360" s="4">
        <v>0</v>
      </c>
      <c r="J360" s="6">
        <v>45812</v>
      </c>
      <c r="K360" t="s">
        <v>580</v>
      </c>
      <c r="L360" s="5" t="s">
        <v>582</v>
      </c>
      <c r="M360" s="5" t="s">
        <v>585</v>
      </c>
      <c r="N360" s="7" t="str">
        <f t="shared" si="25"/>
        <v>2025</v>
      </c>
      <c r="O360" s="7" t="str">
        <f t="shared" si="26"/>
        <v>Jun</v>
      </c>
      <c r="P360" s="7" t="str">
        <f t="shared" si="27"/>
        <v>Wed</v>
      </c>
      <c r="Q360" t="str">
        <f t="shared" si="28"/>
        <v>Full Price</v>
      </c>
      <c r="R360" t="str">
        <f t="shared" si="29"/>
        <v>No Action</v>
      </c>
    </row>
    <row r="361" spans="1:18" x14ac:dyDescent="0.25">
      <c r="A361" s="4">
        <v>1360</v>
      </c>
      <c r="B361" s="5" t="s">
        <v>372</v>
      </c>
      <c r="C361" s="5" t="s">
        <v>512</v>
      </c>
      <c r="D361" s="5" t="s">
        <v>533</v>
      </c>
      <c r="E361" s="5" t="s">
        <v>572</v>
      </c>
      <c r="F361" s="5" t="s">
        <v>577</v>
      </c>
      <c r="G361" s="4">
        <v>15</v>
      </c>
      <c r="H361" s="4">
        <v>248</v>
      </c>
      <c r="I361" s="4">
        <v>5</v>
      </c>
      <c r="J361" s="6">
        <v>45699</v>
      </c>
      <c r="K361" t="s">
        <v>579</v>
      </c>
      <c r="L361" s="5" t="s">
        <v>582</v>
      </c>
      <c r="M361" s="5" t="s">
        <v>586</v>
      </c>
      <c r="N361" s="7" t="str">
        <f t="shared" si="25"/>
        <v>2025</v>
      </c>
      <c r="O361" s="7" t="str">
        <f t="shared" si="26"/>
        <v>Feb</v>
      </c>
      <c r="P361" s="7" t="str">
        <f t="shared" si="27"/>
        <v>Tue</v>
      </c>
      <c r="Q361" t="str">
        <f t="shared" si="28"/>
        <v>Discounted</v>
      </c>
      <c r="R361" t="str">
        <f t="shared" si="29"/>
        <v>Check Return Policy</v>
      </c>
    </row>
    <row r="362" spans="1:18" x14ac:dyDescent="0.25">
      <c r="A362" s="4">
        <v>1361</v>
      </c>
      <c r="B362" s="5" t="s">
        <v>373</v>
      </c>
      <c r="C362" s="5" t="s">
        <v>513</v>
      </c>
      <c r="D362" s="5" t="s">
        <v>536</v>
      </c>
      <c r="E362" s="5" t="s">
        <v>570</v>
      </c>
      <c r="F362" s="5" t="s">
        <v>575</v>
      </c>
      <c r="G362" s="4">
        <v>3</v>
      </c>
      <c r="H362" s="4">
        <v>7</v>
      </c>
      <c r="I362" s="4">
        <v>10</v>
      </c>
      <c r="J362" s="6">
        <v>45732</v>
      </c>
      <c r="K362" t="s">
        <v>580</v>
      </c>
      <c r="L362" s="5" t="s">
        <v>583</v>
      </c>
      <c r="M362" s="5" t="s">
        <v>586</v>
      </c>
      <c r="N362" s="7" t="str">
        <f t="shared" si="25"/>
        <v>2025</v>
      </c>
      <c r="O362" s="7" t="str">
        <f t="shared" si="26"/>
        <v>Mar</v>
      </c>
      <c r="P362" s="7" t="str">
        <f t="shared" si="27"/>
        <v>Sun</v>
      </c>
      <c r="Q362" t="str">
        <f t="shared" si="28"/>
        <v>Discounted</v>
      </c>
      <c r="R362" t="str">
        <f t="shared" si="29"/>
        <v>Check Return Policy</v>
      </c>
    </row>
    <row r="363" spans="1:18" x14ac:dyDescent="0.25">
      <c r="A363" s="4">
        <v>1362</v>
      </c>
      <c r="B363" s="5" t="s">
        <v>374</v>
      </c>
      <c r="C363" s="5" t="s">
        <v>511</v>
      </c>
      <c r="D363" s="5" t="s">
        <v>537</v>
      </c>
      <c r="E363" s="5" t="s">
        <v>570</v>
      </c>
      <c r="F363" s="5" t="s">
        <v>575</v>
      </c>
      <c r="G363" s="4">
        <v>1</v>
      </c>
      <c r="H363" s="4">
        <v>6</v>
      </c>
      <c r="I363" s="4">
        <v>15</v>
      </c>
      <c r="J363" s="6">
        <v>45889</v>
      </c>
      <c r="K363" t="s">
        <v>579</v>
      </c>
      <c r="L363" s="5" t="s">
        <v>584</v>
      </c>
      <c r="M363" s="5" t="s">
        <v>585</v>
      </c>
      <c r="N363" s="7" t="str">
        <f t="shared" si="25"/>
        <v>2025</v>
      </c>
      <c r="O363" s="7" t="str">
        <f t="shared" si="26"/>
        <v>Aug</v>
      </c>
      <c r="P363" s="7" t="str">
        <f t="shared" si="27"/>
        <v>Wed</v>
      </c>
      <c r="Q363" t="str">
        <f t="shared" si="28"/>
        <v>Discounted</v>
      </c>
      <c r="R363" t="str">
        <f t="shared" si="29"/>
        <v>No Action</v>
      </c>
    </row>
    <row r="364" spans="1:18" x14ac:dyDescent="0.25">
      <c r="A364" s="4">
        <v>1363</v>
      </c>
      <c r="B364" s="5" t="s">
        <v>375</v>
      </c>
      <c r="C364" s="5" t="s">
        <v>513</v>
      </c>
      <c r="D364" s="5" t="s">
        <v>542</v>
      </c>
      <c r="E364" s="5" t="s">
        <v>568</v>
      </c>
      <c r="F364" s="5" t="s">
        <v>577</v>
      </c>
      <c r="G364" s="4">
        <v>12</v>
      </c>
      <c r="H364" s="4">
        <v>150</v>
      </c>
      <c r="I364" s="4">
        <v>15</v>
      </c>
      <c r="J364" s="6">
        <v>45929</v>
      </c>
      <c r="K364" t="s">
        <v>579</v>
      </c>
      <c r="L364" s="5" t="s">
        <v>584</v>
      </c>
      <c r="M364" s="5" t="s">
        <v>585</v>
      </c>
      <c r="N364" s="7" t="str">
        <f t="shared" si="25"/>
        <v>2025</v>
      </c>
      <c r="O364" s="7" t="str">
        <f t="shared" si="26"/>
        <v>Sep</v>
      </c>
      <c r="P364" s="7" t="str">
        <f t="shared" si="27"/>
        <v>Mon</v>
      </c>
      <c r="Q364" t="str">
        <f t="shared" si="28"/>
        <v>Discounted</v>
      </c>
      <c r="R364" t="str">
        <f t="shared" si="29"/>
        <v>No Action</v>
      </c>
    </row>
    <row r="365" spans="1:18" x14ac:dyDescent="0.25">
      <c r="A365" s="4">
        <v>1364</v>
      </c>
      <c r="B365" s="5" t="s">
        <v>376</v>
      </c>
      <c r="C365" s="5" t="s">
        <v>512</v>
      </c>
      <c r="D365" s="5" t="s">
        <v>534</v>
      </c>
      <c r="E365" s="5" t="s">
        <v>572</v>
      </c>
      <c r="F365" s="5" t="s">
        <v>577</v>
      </c>
      <c r="G365" s="4">
        <v>3</v>
      </c>
      <c r="H365" s="4">
        <v>182</v>
      </c>
      <c r="I365" s="4">
        <v>5</v>
      </c>
      <c r="J365" s="6">
        <v>45930</v>
      </c>
      <c r="K365" t="s">
        <v>581</v>
      </c>
      <c r="L365" s="5" t="s">
        <v>584</v>
      </c>
      <c r="M365" s="5" t="s">
        <v>586</v>
      </c>
      <c r="N365" s="7" t="str">
        <f t="shared" si="25"/>
        <v>2025</v>
      </c>
      <c r="O365" s="7" t="str">
        <f t="shared" si="26"/>
        <v>Sep</v>
      </c>
      <c r="P365" s="7" t="str">
        <f t="shared" si="27"/>
        <v>Tue</v>
      </c>
      <c r="Q365" t="str">
        <f t="shared" si="28"/>
        <v>Discounted</v>
      </c>
      <c r="R365" t="str">
        <f t="shared" si="29"/>
        <v>Check Return Policy</v>
      </c>
    </row>
    <row r="366" spans="1:18" x14ac:dyDescent="0.25">
      <c r="A366" s="4">
        <v>1365</v>
      </c>
      <c r="B366" s="5" t="s">
        <v>377</v>
      </c>
      <c r="C366" s="5" t="s">
        <v>511</v>
      </c>
      <c r="D366" s="5" t="s">
        <v>564</v>
      </c>
      <c r="E366" s="5" t="s">
        <v>572</v>
      </c>
      <c r="F366" s="5" t="s">
        <v>577</v>
      </c>
      <c r="G366" s="4">
        <v>1</v>
      </c>
      <c r="H366" s="4">
        <v>172</v>
      </c>
      <c r="I366" s="4">
        <v>10</v>
      </c>
      <c r="J366" s="6">
        <v>45852</v>
      </c>
      <c r="K366" t="s">
        <v>581</v>
      </c>
      <c r="L366" s="5" t="s">
        <v>584</v>
      </c>
      <c r="M366" s="5" t="s">
        <v>585</v>
      </c>
      <c r="N366" s="7" t="str">
        <f t="shared" si="25"/>
        <v>2025</v>
      </c>
      <c r="O366" s="7" t="str">
        <f t="shared" si="26"/>
        <v>Jul</v>
      </c>
      <c r="P366" s="7" t="str">
        <f t="shared" si="27"/>
        <v>Mon</v>
      </c>
      <c r="Q366" t="str">
        <f t="shared" si="28"/>
        <v>Discounted</v>
      </c>
      <c r="R366" t="str">
        <f t="shared" si="29"/>
        <v>No Action</v>
      </c>
    </row>
    <row r="367" spans="1:18" x14ac:dyDescent="0.25">
      <c r="A367" s="4">
        <v>1366</v>
      </c>
      <c r="B367" s="5" t="s">
        <v>378</v>
      </c>
      <c r="C367" s="5" t="s">
        <v>511</v>
      </c>
      <c r="D367" s="5" t="s">
        <v>550</v>
      </c>
      <c r="E367" s="5" t="s">
        <v>572</v>
      </c>
      <c r="F367" s="5" t="s">
        <v>577</v>
      </c>
      <c r="G367" s="4">
        <v>20</v>
      </c>
      <c r="H367" s="4">
        <v>167</v>
      </c>
      <c r="I367" s="4">
        <v>0</v>
      </c>
      <c r="J367" s="6">
        <v>45769</v>
      </c>
      <c r="K367" t="s">
        <v>581</v>
      </c>
      <c r="L367" s="5" t="s">
        <v>582</v>
      </c>
      <c r="M367" s="5" t="s">
        <v>585</v>
      </c>
      <c r="N367" s="7" t="str">
        <f t="shared" si="25"/>
        <v>2025</v>
      </c>
      <c r="O367" s="7" t="str">
        <f t="shared" si="26"/>
        <v>Apr</v>
      </c>
      <c r="P367" s="7" t="str">
        <f t="shared" si="27"/>
        <v>Tue</v>
      </c>
      <c r="Q367" t="str">
        <f t="shared" si="28"/>
        <v>Full Price</v>
      </c>
      <c r="R367" t="str">
        <f t="shared" si="29"/>
        <v>No Action</v>
      </c>
    </row>
    <row r="368" spans="1:18" x14ac:dyDescent="0.25">
      <c r="A368" s="4">
        <v>1367</v>
      </c>
      <c r="B368" s="5" t="s">
        <v>379</v>
      </c>
      <c r="C368" s="5" t="s">
        <v>514</v>
      </c>
      <c r="D368" s="5" t="s">
        <v>530</v>
      </c>
      <c r="E368" s="5" t="s">
        <v>569</v>
      </c>
      <c r="F368" s="5" t="s">
        <v>576</v>
      </c>
      <c r="G368" s="4">
        <v>2</v>
      </c>
      <c r="H368" s="4">
        <v>704</v>
      </c>
      <c r="I368" s="4">
        <v>0</v>
      </c>
      <c r="J368" s="6">
        <v>45786</v>
      </c>
      <c r="K368" t="s">
        <v>580</v>
      </c>
      <c r="L368" s="5" t="s">
        <v>584</v>
      </c>
      <c r="M368" s="5" t="s">
        <v>585</v>
      </c>
      <c r="N368" s="7" t="str">
        <f t="shared" si="25"/>
        <v>2025</v>
      </c>
      <c r="O368" s="7" t="str">
        <f t="shared" si="26"/>
        <v>May</v>
      </c>
      <c r="P368" s="7" t="str">
        <f t="shared" si="27"/>
        <v>Fri</v>
      </c>
      <c r="Q368" t="str">
        <f t="shared" si="28"/>
        <v>Full Price</v>
      </c>
      <c r="R368" t="str">
        <f t="shared" si="29"/>
        <v>No Action</v>
      </c>
    </row>
    <row r="369" spans="1:18" x14ac:dyDescent="0.25">
      <c r="A369" s="4">
        <v>1368</v>
      </c>
      <c r="B369" s="5" t="s">
        <v>380</v>
      </c>
      <c r="C369" s="5" t="s">
        <v>514</v>
      </c>
      <c r="D369" s="5" t="s">
        <v>533</v>
      </c>
      <c r="E369" s="5" t="s">
        <v>566</v>
      </c>
      <c r="F369" s="5" t="s">
        <v>576</v>
      </c>
      <c r="G369" s="4">
        <v>6</v>
      </c>
      <c r="H369" s="4">
        <v>234</v>
      </c>
      <c r="I369" s="4">
        <v>10</v>
      </c>
      <c r="J369" s="6">
        <v>45946</v>
      </c>
      <c r="K369" t="s">
        <v>579</v>
      </c>
      <c r="L369" s="5" t="s">
        <v>584</v>
      </c>
      <c r="M369" s="5" t="s">
        <v>586</v>
      </c>
      <c r="N369" s="7" t="str">
        <f t="shared" si="25"/>
        <v>2025</v>
      </c>
      <c r="O369" s="7" t="str">
        <f t="shared" si="26"/>
        <v>Oct</v>
      </c>
      <c r="P369" s="7" t="str">
        <f t="shared" si="27"/>
        <v>Thu</v>
      </c>
      <c r="Q369" t="str">
        <f t="shared" si="28"/>
        <v>Discounted</v>
      </c>
      <c r="R369" t="str">
        <f t="shared" si="29"/>
        <v>Check Return Policy</v>
      </c>
    </row>
    <row r="370" spans="1:18" x14ac:dyDescent="0.25">
      <c r="A370" s="4">
        <v>1369</v>
      </c>
      <c r="B370" s="5" t="s">
        <v>381</v>
      </c>
      <c r="C370" s="5" t="s">
        <v>512</v>
      </c>
      <c r="D370" s="5" t="s">
        <v>553</v>
      </c>
      <c r="E370" s="5" t="s">
        <v>566</v>
      </c>
      <c r="F370" s="5" t="s">
        <v>576</v>
      </c>
      <c r="G370" s="4">
        <v>18</v>
      </c>
      <c r="H370" s="4">
        <v>469</v>
      </c>
      <c r="I370" s="4">
        <v>15</v>
      </c>
      <c r="J370" s="6">
        <v>45977</v>
      </c>
      <c r="K370" t="s">
        <v>578</v>
      </c>
      <c r="L370" s="5" t="s">
        <v>582</v>
      </c>
      <c r="M370" s="5" t="s">
        <v>586</v>
      </c>
      <c r="N370" s="7" t="str">
        <f t="shared" si="25"/>
        <v>2025</v>
      </c>
      <c r="O370" s="7" t="str">
        <f t="shared" si="26"/>
        <v>Nov</v>
      </c>
      <c r="P370" s="7" t="str">
        <f t="shared" si="27"/>
        <v>Sun</v>
      </c>
      <c r="Q370" t="str">
        <f t="shared" si="28"/>
        <v>Discounted</v>
      </c>
      <c r="R370" t="str">
        <f t="shared" si="29"/>
        <v>Check Return Policy</v>
      </c>
    </row>
    <row r="371" spans="1:18" x14ac:dyDescent="0.25">
      <c r="A371" s="4">
        <v>1370</v>
      </c>
      <c r="B371" s="5" t="s">
        <v>382</v>
      </c>
      <c r="C371" s="5" t="s">
        <v>514</v>
      </c>
      <c r="D371" s="5" t="s">
        <v>527</v>
      </c>
      <c r="E371" s="5" t="s">
        <v>573</v>
      </c>
      <c r="F371" s="5" t="s">
        <v>576</v>
      </c>
      <c r="G371" s="4">
        <v>14</v>
      </c>
      <c r="H371" s="4">
        <v>345</v>
      </c>
      <c r="I371" s="4">
        <v>5</v>
      </c>
      <c r="J371" s="6">
        <v>45718</v>
      </c>
      <c r="K371" t="s">
        <v>579</v>
      </c>
      <c r="L371" s="5" t="s">
        <v>582</v>
      </c>
      <c r="M371" s="5" t="s">
        <v>585</v>
      </c>
      <c r="N371" s="7" t="str">
        <f t="shared" si="25"/>
        <v>2025</v>
      </c>
      <c r="O371" s="7" t="str">
        <f t="shared" si="26"/>
        <v>Mar</v>
      </c>
      <c r="P371" s="7" t="str">
        <f t="shared" si="27"/>
        <v>Sun</v>
      </c>
      <c r="Q371" t="str">
        <f t="shared" si="28"/>
        <v>Discounted</v>
      </c>
      <c r="R371" t="str">
        <f t="shared" si="29"/>
        <v>No Action</v>
      </c>
    </row>
    <row r="372" spans="1:18" x14ac:dyDescent="0.25">
      <c r="A372" s="4">
        <v>1371</v>
      </c>
      <c r="B372" s="5" t="s">
        <v>383</v>
      </c>
      <c r="C372" s="5" t="s">
        <v>513</v>
      </c>
      <c r="D372" s="5" t="s">
        <v>544</v>
      </c>
      <c r="E372" s="5" t="s">
        <v>566</v>
      </c>
      <c r="F372" s="5" t="s">
        <v>576</v>
      </c>
      <c r="G372" s="4">
        <v>10</v>
      </c>
      <c r="H372" s="4">
        <v>173</v>
      </c>
      <c r="I372" s="4">
        <v>10</v>
      </c>
      <c r="J372" s="6">
        <v>45788</v>
      </c>
      <c r="K372" t="s">
        <v>579</v>
      </c>
      <c r="L372" s="5" t="s">
        <v>582</v>
      </c>
      <c r="M372" s="5" t="s">
        <v>586</v>
      </c>
      <c r="N372" s="7" t="str">
        <f t="shared" si="25"/>
        <v>2025</v>
      </c>
      <c r="O372" s="7" t="str">
        <f t="shared" si="26"/>
        <v>May</v>
      </c>
      <c r="P372" s="7" t="str">
        <f t="shared" si="27"/>
        <v>Sun</v>
      </c>
      <c r="Q372" t="str">
        <f t="shared" si="28"/>
        <v>Discounted</v>
      </c>
      <c r="R372" t="str">
        <f t="shared" si="29"/>
        <v>Check Return Policy</v>
      </c>
    </row>
    <row r="373" spans="1:18" x14ac:dyDescent="0.25">
      <c r="A373" s="4">
        <v>1372</v>
      </c>
      <c r="B373" s="5" t="s">
        <v>384</v>
      </c>
      <c r="C373" s="5" t="s">
        <v>511</v>
      </c>
      <c r="D373" s="5" t="s">
        <v>556</v>
      </c>
      <c r="E373" s="5" t="s">
        <v>567</v>
      </c>
      <c r="F373" s="5" t="s">
        <v>576</v>
      </c>
      <c r="G373" s="4">
        <v>1</v>
      </c>
      <c r="H373" s="4">
        <v>1445</v>
      </c>
      <c r="I373" s="4">
        <v>10</v>
      </c>
      <c r="J373" s="6">
        <v>45937</v>
      </c>
      <c r="K373" t="s">
        <v>581</v>
      </c>
      <c r="L373" s="5" t="s">
        <v>583</v>
      </c>
      <c r="M373" s="5" t="s">
        <v>585</v>
      </c>
      <c r="N373" s="7" t="str">
        <f t="shared" si="25"/>
        <v>2025</v>
      </c>
      <c r="O373" s="7" t="str">
        <f t="shared" si="26"/>
        <v>Oct</v>
      </c>
      <c r="P373" s="7" t="str">
        <f t="shared" si="27"/>
        <v>Tue</v>
      </c>
      <c r="Q373" t="str">
        <f t="shared" si="28"/>
        <v>Discounted</v>
      </c>
      <c r="R373" t="str">
        <f t="shared" si="29"/>
        <v>No Action</v>
      </c>
    </row>
    <row r="374" spans="1:18" x14ac:dyDescent="0.25">
      <c r="A374" s="4">
        <v>1373</v>
      </c>
      <c r="B374" s="5" t="s">
        <v>385</v>
      </c>
      <c r="C374" s="5" t="s">
        <v>512</v>
      </c>
      <c r="D374" s="5" t="s">
        <v>548</v>
      </c>
      <c r="E374" s="5" t="s">
        <v>566</v>
      </c>
      <c r="F374" s="5" t="s">
        <v>576</v>
      </c>
      <c r="G374" s="4">
        <v>19</v>
      </c>
      <c r="H374" s="4">
        <v>208</v>
      </c>
      <c r="I374" s="4">
        <v>0</v>
      </c>
      <c r="J374" s="6">
        <v>45810</v>
      </c>
      <c r="K374" t="s">
        <v>581</v>
      </c>
      <c r="L374" s="5" t="s">
        <v>583</v>
      </c>
      <c r="M374" s="5" t="s">
        <v>585</v>
      </c>
      <c r="N374" s="7" t="str">
        <f t="shared" si="25"/>
        <v>2025</v>
      </c>
      <c r="O374" s="7" t="str">
        <f t="shared" si="26"/>
        <v>Jun</v>
      </c>
      <c r="P374" s="7" t="str">
        <f t="shared" si="27"/>
        <v>Mon</v>
      </c>
      <c r="Q374" t="str">
        <f t="shared" si="28"/>
        <v>Full Price</v>
      </c>
      <c r="R374" t="str">
        <f t="shared" si="29"/>
        <v>No Action</v>
      </c>
    </row>
    <row r="375" spans="1:18" x14ac:dyDescent="0.25">
      <c r="A375" s="4">
        <v>1374</v>
      </c>
      <c r="B375" s="5" t="s">
        <v>386</v>
      </c>
      <c r="C375" s="5" t="s">
        <v>511</v>
      </c>
      <c r="D375" s="5" t="s">
        <v>557</v>
      </c>
      <c r="E375" s="5" t="s">
        <v>568</v>
      </c>
      <c r="F375" s="5" t="s">
        <v>577</v>
      </c>
      <c r="G375" s="4">
        <v>16</v>
      </c>
      <c r="H375" s="4">
        <v>278</v>
      </c>
      <c r="I375" s="4">
        <v>5</v>
      </c>
      <c r="J375" s="6">
        <v>45903</v>
      </c>
      <c r="K375" t="s">
        <v>579</v>
      </c>
      <c r="L375" s="5" t="s">
        <v>584</v>
      </c>
      <c r="M375" s="5" t="s">
        <v>586</v>
      </c>
      <c r="N375" s="7" t="str">
        <f t="shared" si="25"/>
        <v>2025</v>
      </c>
      <c r="O375" s="7" t="str">
        <f t="shared" si="26"/>
        <v>Sep</v>
      </c>
      <c r="P375" s="7" t="str">
        <f t="shared" si="27"/>
        <v>Wed</v>
      </c>
      <c r="Q375" t="str">
        <f t="shared" si="28"/>
        <v>Discounted</v>
      </c>
      <c r="R375" t="str">
        <f t="shared" si="29"/>
        <v>Check Return Policy</v>
      </c>
    </row>
    <row r="376" spans="1:18" x14ac:dyDescent="0.25">
      <c r="A376" s="4">
        <v>1375</v>
      </c>
      <c r="B376" s="5" t="s">
        <v>387</v>
      </c>
      <c r="C376" s="5" t="s">
        <v>514</v>
      </c>
      <c r="D376" s="5" t="s">
        <v>552</v>
      </c>
      <c r="E376" s="5" t="s">
        <v>574</v>
      </c>
      <c r="F376" s="5" t="s">
        <v>576</v>
      </c>
      <c r="G376" s="4">
        <v>19</v>
      </c>
      <c r="H376" s="4">
        <v>77</v>
      </c>
      <c r="I376" s="4">
        <v>15</v>
      </c>
      <c r="J376" s="6">
        <v>45978</v>
      </c>
      <c r="K376" t="s">
        <v>579</v>
      </c>
      <c r="L376" s="5" t="s">
        <v>584</v>
      </c>
      <c r="M376" s="5" t="s">
        <v>586</v>
      </c>
      <c r="N376" s="7" t="str">
        <f t="shared" si="25"/>
        <v>2025</v>
      </c>
      <c r="O376" s="7" t="str">
        <f t="shared" si="26"/>
        <v>Nov</v>
      </c>
      <c r="P376" s="7" t="str">
        <f t="shared" si="27"/>
        <v>Mon</v>
      </c>
      <c r="Q376" t="str">
        <f t="shared" si="28"/>
        <v>Discounted</v>
      </c>
      <c r="R376" t="str">
        <f t="shared" si="29"/>
        <v>Check Return Policy</v>
      </c>
    </row>
    <row r="377" spans="1:18" x14ac:dyDescent="0.25">
      <c r="A377" s="4">
        <v>1376</v>
      </c>
      <c r="B377" s="5" t="s">
        <v>388</v>
      </c>
      <c r="C377" s="5" t="s">
        <v>512</v>
      </c>
      <c r="D377" s="5" t="s">
        <v>523</v>
      </c>
      <c r="E377" s="5" t="s">
        <v>571</v>
      </c>
      <c r="F377" s="5" t="s">
        <v>577</v>
      </c>
      <c r="G377" s="4">
        <v>20</v>
      </c>
      <c r="H377" s="4">
        <v>291</v>
      </c>
      <c r="I377" s="4">
        <v>10</v>
      </c>
      <c r="J377" s="6">
        <v>45884</v>
      </c>
      <c r="K377" t="s">
        <v>580</v>
      </c>
      <c r="L377" s="5" t="s">
        <v>582</v>
      </c>
      <c r="M377" s="5" t="s">
        <v>585</v>
      </c>
      <c r="N377" s="7" t="str">
        <f t="shared" si="25"/>
        <v>2025</v>
      </c>
      <c r="O377" s="7" t="str">
        <f t="shared" si="26"/>
        <v>Aug</v>
      </c>
      <c r="P377" s="7" t="str">
        <f t="shared" si="27"/>
        <v>Fri</v>
      </c>
      <c r="Q377" t="str">
        <f t="shared" si="28"/>
        <v>Discounted</v>
      </c>
      <c r="R377" t="str">
        <f t="shared" si="29"/>
        <v>No Action</v>
      </c>
    </row>
    <row r="378" spans="1:18" x14ac:dyDescent="0.25">
      <c r="A378" s="4">
        <v>1377</v>
      </c>
      <c r="B378" s="5" t="s">
        <v>389</v>
      </c>
      <c r="C378" s="5" t="s">
        <v>512</v>
      </c>
      <c r="D378" s="5" t="s">
        <v>559</v>
      </c>
      <c r="E378" s="5" t="s">
        <v>565</v>
      </c>
      <c r="F378" s="5" t="s">
        <v>575</v>
      </c>
      <c r="G378" s="4">
        <v>15</v>
      </c>
      <c r="H378" s="4">
        <v>7</v>
      </c>
      <c r="I378" s="4">
        <v>0</v>
      </c>
      <c r="J378" s="6">
        <v>45714</v>
      </c>
      <c r="K378" t="s">
        <v>581</v>
      </c>
      <c r="L378" s="5" t="s">
        <v>582</v>
      </c>
      <c r="M378" s="5" t="s">
        <v>585</v>
      </c>
      <c r="N378" s="7" t="str">
        <f t="shared" si="25"/>
        <v>2025</v>
      </c>
      <c r="O378" s="7" t="str">
        <f t="shared" si="26"/>
        <v>Feb</v>
      </c>
      <c r="P378" s="7" t="str">
        <f t="shared" si="27"/>
        <v>Wed</v>
      </c>
      <c r="Q378" t="str">
        <f t="shared" si="28"/>
        <v>Full Price</v>
      </c>
      <c r="R378" t="str">
        <f t="shared" si="29"/>
        <v>No Action</v>
      </c>
    </row>
    <row r="379" spans="1:18" x14ac:dyDescent="0.25">
      <c r="A379" s="4">
        <v>1378</v>
      </c>
      <c r="B379" s="5" t="s">
        <v>390</v>
      </c>
      <c r="C379" s="5" t="s">
        <v>513</v>
      </c>
      <c r="D379" s="5" t="s">
        <v>530</v>
      </c>
      <c r="E379" s="5" t="s">
        <v>572</v>
      </c>
      <c r="F379" s="5" t="s">
        <v>577</v>
      </c>
      <c r="G379" s="4">
        <v>14</v>
      </c>
      <c r="H379" s="4">
        <v>189</v>
      </c>
      <c r="I379" s="4">
        <v>5</v>
      </c>
      <c r="J379" s="6">
        <v>45791</v>
      </c>
      <c r="K379" t="s">
        <v>579</v>
      </c>
      <c r="L379" s="5" t="s">
        <v>583</v>
      </c>
      <c r="M379" s="5" t="s">
        <v>585</v>
      </c>
      <c r="N379" s="7" t="str">
        <f t="shared" si="25"/>
        <v>2025</v>
      </c>
      <c r="O379" s="7" t="str">
        <f t="shared" si="26"/>
        <v>May</v>
      </c>
      <c r="P379" s="7" t="str">
        <f t="shared" si="27"/>
        <v>Wed</v>
      </c>
      <c r="Q379" t="str">
        <f t="shared" si="28"/>
        <v>Discounted</v>
      </c>
      <c r="R379" t="str">
        <f t="shared" si="29"/>
        <v>No Action</v>
      </c>
    </row>
    <row r="380" spans="1:18" x14ac:dyDescent="0.25">
      <c r="A380" s="4">
        <v>1379</v>
      </c>
      <c r="B380" s="5" t="s">
        <v>391</v>
      </c>
      <c r="C380" s="5" t="s">
        <v>512</v>
      </c>
      <c r="D380" s="5" t="s">
        <v>555</v>
      </c>
      <c r="E380" s="5" t="s">
        <v>568</v>
      </c>
      <c r="F380" s="5" t="s">
        <v>577</v>
      </c>
      <c r="G380" s="4">
        <v>12</v>
      </c>
      <c r="H380" s="4">
        <v>225</v>
      </c>
      <c r="I380" s="4">
        <v>0</v>
      </c>
      <c r="J380" s="6">
        <v>45971</v>
      </c>
      <c r="K380" t="s">
        <v>579</v>
      </c>
      <c r="L380" s="5" t="s">
        <v>584</v>
      </c>
      <c r="M380" s="5" t="s">
        <v>585</v>
      </c>
      <c r="N380" s="7" t="str">
        <f t="shared" si="25"/>
        <v>2025</v>
      </c>
      <c r="O380" s="7" t="str">
        <f t="shared" si="26"/>
        <v>Nov</v>
      </c>
      <c r="P380" s="7" t="str">
        <f t="shared" si="27"/>
        <v>Mon</v>
      </c>
      <c r="Q380" t="str">
        <f t="shared" si="28"/>
        <v>Full Price</v>
      </c>
      <c r="R380" t="str">
        <f t="shared" si="29"/>
        <v>No Action</v>
      </c>
    </row>
    <row r="381" spans="1:18" x14ac:dyDescent="0.25">
      <c r="A381" s="4">
        <v>1380</v>
      </c>
      <c r="B381" s="5" t="s">
        <v>392</v>
      </c>
      <c r="C381" s="5" t="s">
        <v>512</v>
      </c>
      <c r="D381" s="5" t="s">
        <v>558</v>
      </c>
      <c r="E381" s="5" t="s">
        <v>566</v>
      </c>
      <c r="F381" s="5" t="s">
        <v>576</v>
      </c>
      <c r="G381" s="4">
        <v>14</v>
      </c>
      <c r="H381" s="4">
        <v>302</v>
      </c>
      <c r="I381" s="4">
        <v>10</v>
      </c>
      <c r="J381" s="6">
        <v>45843</v>
      </c>
      <c r="K381" t="s">
        <v>579</v>
      </c>
      <c r="L381" s="5" t="s">
        <v>582</v>
      </c>
      <c r="M381" s="5" t="s">
        <v>585</v>
      </c>
      <c r="N381" s="7" t="str">
        <f t="shared" si="25"/>
        <v>2025</v>
      </c>
      <c r="O381" s="7" t="str">
        <f t="shared" si="26"/>
        <v>Jul</v>
      </c>
      <c r="P381" s="7" t="str">
        <f t="shared" si="27"/>
        <v>Sat</v>
      </c>
      <c r="Q381" t="str">
        <f t="shared" si="28"/>
        <v>Discounted</v>
      </c>
      <c r="R381" t="str">
        <f t="shared" si="29"/>
        <v>No Action</v>
      </c>
    </row>
    <row r="382" spans="1:18" x14ac:dyDescent="0.25">
      <c r="A382" s="4">
        <v>1381</v>
      </c>
      <c r="B382" s="5" t="s">
        <v>393</v>
      </c>
      <c r="C382" s="5" t="s">
        <v>511</v>
      </c>
      <c r="D382" s="5" t="s">
        <v>563</v>
      </c>
      <c r="E382" s="5" t="s">
        <v>569</v>
      </c>
      <c r="F382" s="5" t="s">
        <v>576</v>
      </c>
      <c r="G382" s="4">
        <v>6</v>
      </c>
      <c r="H382" s="4">
        <v>975</v>
      </c>
      <c r="I382" s="4">
        <v>15</v>
      </c>
      <c r="J382" s="6">
        <v>45665</v>
      </c>
      <c r="K382" t="s">
        <v>578</v>
      </c>
      <c r="L382" s="5" t="s">
        <v>584</v>
      </c>
      <c r="M382" s="5" t="s">
        <v>586</v>
      </c>
      <c r="N382" s="7" t="str">
        <f t="shared" si="25"/>
        <v>2025</v>
      </c>
      <c r="O382" s="7" t="str">
        <f t="shared" si="26"/>
        <v>Jan</v>
      </c>
      <c r="P382" s="7" t="str">
        <f t="shared" si="27"/>
        <v>Wed</v>
      </c>
      <c r="Q382" t="str">
        <f t="shared" si="28"/>
        <v>Discounted</v>
      </c>
      <c r="R382" t="str">
        <f t="shared" si="29"/>
        <v>Check Return Policy</v>
      </c>
    </row>
    <row r="383" spans="1:18" x14ac:dyDescent="0.25">
      <c r="A383" s="4">
        <v>1382</v>
      </c>
      <c r="B383" s="5" t="s">
        <v>394</v>
      </c>
      <c r="C383" s="5" t="s">
        <v>513</v>
      </c>
      <c r="D383" s="5" t="s">
        <v>517</v>
      </c>
      <c r="E383" s="5" t="s">
        <v>566</v>
      </c>
      <c r="F383" s="5" t="s">
        <v>576</v>
      </c>
      <c r="G383" s="4">
        <v>18</v>
      </c>
      <c r="H383" s="4">
        <v>259</v>
      </c>
      <c r="I383" s="4">
        <v>0</v>
      </c>
      <c r="J383" s="6">
        <v>45874</v>
      </c>
      <c r="K383" t="s">
        <v>580</v>
      </c>
      <c r="L383" s="5" t="s">
        <v>583</v>
      </c>
      <c r="M383" s="5" t="s">
        <v>585</v>
      </c>
      <c r="N383" s="7" t="str">
        <f t="shared" si="25"/>
        <v>2025</v>
      </c>
      <c r="O383" s="7" t="str">
        <f t="shared" si="26"/>
        <v>Aug</v>
      </c>
      <c r="P383" s="7" t="str">
        <f t="shared" si="27"/>
        <v>Tue</v>
      </c>
      <c r="Q383" t="str">
        <f t="shared" si="28"/>
        <v>Full Price</v>
      </c>
      <c r="R383" t="str">
        <f t="shared" si="29"/>
        <v>No Action</v>
      </c>
    </row>
    <row r="384" spans="1:18" x14ac:dyDescent="0.25">
      <c r="A384" s="4">
        <v>1383</v>
      </c>
      <c r="B384" s="5" t="s">
        <v>395</v>
      </c>
      <c r="C384" s="5" t="s">
        <v>512</v>
      </c>
      <c r="D384" s="5" t="s">
        <v>519</v>
      </c>
      <c r="E384" s="5" t="s">
        <v>573</v>
      </c>
      <c r="F384" s="5" t="s">
        <v>576</v>
      </c>
      <c r="G384" s="4">
        <v>14</v>
      </c>
      <c r="H384" s="4">
        <v>308</v>
      </c>
      <c r="I384" s="4">
        <v>0</v>
      </c>
      <c r="J384" s="6">
        <v>45876</v>
      </c>
      <c r="K384" t="s">
        <v>579</v>
      </c>
      <c r="L384" s="5" t="s">
        <v>582</v>
      </c>
      <c r="M384" s="5" t="s">
        <v>585</v>
      </c>
      <c r="N384" s="7" t="str">
        <f t="shared" si="25"/>
        <v>2025</v>
      </c>
      <c r="O384" s="7" t="str">
        <f t="shared" si="26"/>
        <v>Aug</v>
      </c>
      <c r="P384" s="7" t="str">
        <f t="shared" si="27"/>
        <v>Thu</v>
      </c>
      <c r="Q384" t="str">
        <f t="shared" si="28"/>
        <v>Full Price</v>
      </c>
      <c r="R384" t="str">
        <f t="shared" si="29"/>
        <v>No Action</v>
      </c>
    </row>
    <row r="385" spans="1:18" x14ac:dyDescent="0.25">
      <c r="A385" s="4">
        <v>1384</v>
      </c>
      <c r="B385" s="5" t="s">
        <v>396</v>
      </c>
      <c r="C385" s="5" t="s">
        <v>512</v>
      </c>
      <c r="D385" s="5" t="s">
        <v>523</v>
      </c>
      <c r="E385" s="5" t="s">
        <v>569</v>
      </c>
      <c r="F385" s="5" t="s">
        <v>576</v>
      </c>
      <c r="G385" s="4">
        <v>15</v>
      </c>
      <c r="H385" s="4">
        <v>456</v>
      </c>
      <c r="I385" s="4">
        <v>0</v>
      </c>
      <c r="J385" s="6">
        <v>45798</v>
      </c>
      <c r="K385" t="s">
        <v>581</v>
      </c>
      <c r="L385" s="5" t="s">
        <v>582</v>
      </c>
      <c r="M385" s="5" t="s">
        <v>586</v>
      </c>
      <c r="N385" s="7" t="str">
        <f t="shared" si="25"/>
        <v>2025</v>
      </c>
      <c r="O385" s="7" t="str">
        <f t="shared" si="26"/>
        <v>May</v>
      </c>
      <c r="P385" s="7" t="str">
        <f t="shared" si="27"/>
        <v>Wed</v>
      </c>
      <c r="Q385" t="str">
        <f t="shared" si="28"/>
        <v>Full Price</v>
      </c>
      <c r="R385" t="str">
        <f t="shared" si="29"/>
        <v>Check Return Policy</v>
      </c>
    </row>
    <row r="386" spans="1:18" x14ac:dyDescent="0.25">
      <c r="A386" s="4">
        <v>1385</v>
      </c>
      <c r="B386" s="5" t="s">
        <v>397</v>
      </c>
      <c r="C386" s="5" t="s">
        <v>513</v>
      </c>
      <c r="D386" s="5" t="s">
        <v>561</v>
      </c>
      <c r="E386" s="5" t="s">
        <v>569</v>
      </c>
      <c r="F386" s="5" t="s">
        <v>576</v>
      </c>
      <c r="G386" s="4">
        <v>1</v>
      </c>
      <c r="H386" s="4">
        <v>911</v>
      </c>
      <c r="I386" s="4">
        <v>10</v>
      </c>
      <c r="J386" s="6">
        <v>46004</v>
      </c>
      <c r="K386" t="s">
        <v>578</v>
      </c>
      <c r="L386" s="5" t="s">
        <v>584</v>
      </c>
      <c r="M386" s="5" t="s">
        <v>585</v>
      </c>
      <c r="N386" s="7" t="str">
        <f t="shared" si="25"/>
        <v>2025</v>
      </c>
      <c r="O386" s="7" t="str">
        <f t="shared" si="26"/>
        <v>Dec</v>
      </c>
      <c r="P386" s="7" t="str">
        <f t="shared" si="27"/>
        <v>Sat</v>
      </c>
      <c r="Q386" t="str">
        <f t="shared" si="28"/>
        <v>Discounted</v>
      </c>
      <c r="R386" t="str">
        <f t="shared" si="29"/>
        <v>No Action</v>
      </c>
    </row>
    <row r="387" spans="1:18" x14ac:dyDescent="0.25">
      <c r="A387" s="4">
        <v>1386</v>
      </c>
      <c r="B387" s="5" t="s">
        <v>398</v>
      </c>
      <c r="C387" s="5" t="s">
        <v>512</v>
      </c>
      <c r="D387" s="5" t="s">
        <v>563</v>
      </c>
      <c r="E387" s="5" t="s">
        <v>566</v>
      </c>
      <c r="F387" s="5" t="s">
        <v>576</v>
      </c>
      <c r="G387" s="4">
        <v>12</v>
      </c>
      <c r="H387" s="4">
        <v>208</v>
      </c>
      <c r="I387" s="4">
        <v>5</v>
      </c>
      <c r="J387" s="6">
        <v>45780</v>
      </c>
      <c r="K387" t="s">
        <v>579</v>
      </c>
      <c r="L387" s="5" t="s">
        <v>584</v>
      </c>
      <c r="M387" s="5" t="s">
        <v>585</v>
      </c>
      <c r="N387" s="7" t="str">
        <f t="shared" ref="N387:N450" si="30">TEXT(J387,"YYYY")</f>
        <v>2025</v>
      </c>
      <c r="O387" s="7" t="str">
        <f t="shared" ref="O387:O450" si="31">TEXT(J387,"mmm")</f>
        <v>May</v>
      </c>
      <c r="P387" s="7" t="str">
        <f t="shared" ref="P387:P450" si="32">TEXT(J387,"ddd")</f>
        <v>Sat</v>
      </c>
      <c r="Q387" t="str">
        <f t="shared" ref="Q387:Q450" si="33">IF(I387&gt;0,"Discounted","Full Price")</f>
        <v>Discounted</v>
      </c>
      <c r="R387" t="str">
        <f t="shared" ref="R387:R450" si="34">IF(M387="Yes","Check Return Policy","No Action")</f>
        <v>No Action</v>
      </c>
    </row>
    <row r="388" spans="1:18" x14ac:dyDescent="0.25">
      <c r="A388" s="4">
        <v>1387</v>
      </c>
      <c r="B388" s="5" t="s">
        <v>399</v>
      </c>
      <c r="C388" s="5" t="s">
        <v>513</v>
      </c>
      <c r="D388" s="5" t="s">
        <v>554</v>
      </c>
      <c r="E388" s="5" t="s">
        <v>567</v>
      </c>
      <c r="F388" s="5" t="s">
        <v>576</v>
      </c>
      <c r="G388" s="4">
        <v>17</v>
      </c>
      <c r="H388" s="4">
        <v>929</v>
      </c>
      <c r="I388" s="4">
        <v>5</v>
      </c>
      <c r="J388" s="6">
        <v>45764</v>
      </c>
      <c r="K388" t="s">
        <v>579</v>
      </c>
      <c r="L388" s="5" t="s">
        <v>582</v>
      </c>
      <c r="M388" s="5" t="s">
        <v>585</v>
      </c>
      <c r="N388" s="7" t="str">
        <f t="shared" si="30"/>
        <v>2025</v>
      </c>
      <c r="O388" s="7" t="str">
        <f t="shared" si="31"/>
        <v>Apr</v>
      </c>
      <c r="P388" s="7" t="str">
        <f t="shared" si="32"/>
        <v>Thu</v>
      </c>
      <c r="Q388" t="str">
        <f t="shared" si="33"/>
        <v>Discounted</v>
      </c>
      <c r="R388" t="str">
        <f t="shared" si="34"/>
        <v>No Action</v>
      </c>
    </row>
    <row r="389" spans="1:18" x14ac:dyDescent="0.25">
      <c r="A389" s="4">
        <v>1388</v>
      </c>
      <c r="B389" s="5" t="s">
        <v>400</v>
      </c>
      <c r="C389" s="5" t="s">
        <v>514</v>
      </c>
      <c r="D389" s="5" t="s">
        <v>541</v>
      </c>
      <c r="E389" s="5" t="s">
        <v>566</v>
      </c>
      <c r="F389" s="5" t="s">
        <v>576</v>
      </c>
      <c r="G389" s="4">
        <v>2</v>
      </c>
      <c r="H389" s="4">
        <v>333</v>
      </c>
      <c r="I389" s="4">
        <v>15</v>
      </c>
      <c r="J389" s="6">
        <v>45930</v>
      </c>
      <c r="K389" t="s">
        <v>579</v>
      </c>
      <c r="L389" s="5" t="s">
        <v>582</v>
      </c>
      <c r="M389" s="5" t="s">
        <v>586</v>
      </c>
      <c r="N389" s="7" t="str">
        <f t="shared" si="30"/>
        <v>2025</v>
      </c>
      <c r="O389" s="7" t="str">
        <f t="shared" si="31"/>
        <v>Sep</v>
      </c>
      <c r="P389" s="7" t="str">
        <f t="shared" si="32"/>
        <v>Tue</v>
      </c>
      <c r="Q389" t="str">
        <f t="shared" si="33"/>
        <v>Discounted</v>
      </c>
      <c r="R389" t="str">
        <f t="shared" si="34"/>
        <v>Check Return Policy</v>
      </c>
    </row>
    <row r="390" spans="1:18" x14ac:dyDescent="0.25">
      <c r="A390" s="4">
        <v>1389</v>
      </c>
      <c r="B390" s="5" t="s">
        <v>401</v>
      </c>
      <c r="C390" s="5" t="s">
        <v>513</v>
      </c>
      <c r="D390" s="5" t="s">
        <v>533</v>
      </c>
      <c r="E390" s="5" t="s">
        <v>566</v>
      </c>
      <c r="F390" s="5" t="s">
        <v>576</v>
      </c>
      <c r="G390" s="4">
        <v>13</v>
      </c>
      <c r="H390" s="4">
        <v>336</v>
      </c>
      <c r="I390" s="4">
        <v>5</v>
      </c>
      <c r="J390" s="6">
        <v>45766</v>
      </c>
      <c r="K390" t="s">
        <v>580</v>
      </c>
      <c r="L390" s="5" t="s">
        <v>583</v>
      </c>
      <c r="M390" s="5" t="s">
        <v>586</v>
      </c>
      <c r="N390" s="7" t="str">
        <f t="shared" si="30"/>
        <v>2025</v>
      </c>
      <c r="O390" s="7" t="str">
        <f t="shared" si="31"/>
        <v>Apr</v>
      </c>
      <c r="P390" s="7" t="str">
        <f t="shared" si="32"/>
        <v>Sat</v>
      </c>
      <c r="Q390" t="str">
        <f t="shared" si="33"/>
        <v>Discounted</v>
      </c>
      <c r="R390" t="str">
        <f t="shared" si="34"/>
        <v>Check Return Policy</v>
      </c>
    </row>
    <row r="391" spans="1:18" x14ac:dyDescent="0.25">
      <c r="A391" s="4">
        <v>1390</v>
      </c>
      <c r="B391" s="5" t="s">
        <v>402</v>
      </c>
      <c r="C391" s="5" t="s">
        <v>514</v>
      </c>
      <c r="D391" s="5" t="s">
        <v>547</v>
      </c>
      <c r="E391" s="5" t="s">
        <v>570</v>
      </c>
      <c r="F391" s="5" t="s">
        <v>575</v>
      </c>
      <c r="G391" s="4">
        <v>2</v>
      </c>
      <c r="H391" s="4">
        <v>3</v>
      </c>
      <c r="I391" s="4">
        <v>10</v>
      </c>
      <c r="J391" s="6">
        <v>45961</v>
      </c>
      <c r="K391" t="s">
        <v>581</v>
      </c>
      <c r="L391" s="5" t="s">
        <v>582</v>
      </c>
      <c r="M391" s="5" t="s">
        <v>586</v>
      </c>
      <c r="N391" s="7" t="str">
        <f t="shared" si="30"/>
        <v>2025</v>
      </c>
      <c r="O391" s="7" t="str">
        <f t="shared" si="31"/>
        <v>Oct</v>
      </c>
      <c r="P391" s="7" t="str">
        <f t="shared" si="32"/>
        <v>Fri</v>
      </c>
      <c r="Q391" t="str">
        <f t="shared" si="33"/>
        <v>Discounted</v>
      </c>
      <c r="R391" t="str">
        <f t="shared" si="34"/>
        <v>Check Return Policy</v>
      </c>
    </row>
    <row r="392" spans="1:18" x14ac:dyDescent="0.25">
      <c r="A392" s="4">
        <v>1391</v>
      </c>
      <c r="B392" s="5" t="s">
        <v>403</v>
      </c>
      <c r="C392" s="5" t="s">
        <v>512</v>
      </c>
      <c r="D392" s="5" t="s">
        <v>551</v>
      </c>
      <c r="E392" s="5" t="s">
        <v>569</v>
      </c>
      <c r="F392" s="5" t="s">
        <v>576</v>
      </c>
      <c r="G392" s="4">
        <v>12</v>
      </c>
      <c r="H392" s="4">
        <v>969</v>
      </c>
      <c r="I392" s="4">
        <v>10</v>
      </c>
      <c r="J392" s="6">
        <v>45965</v>
      </c>
      <c r="K392" t="s">
        <v>578</v>
      </c>
      <c r="L392" s="5" t="s">
        <v>582</v>
      </c>
      <c r="M392" s="5" t="s">
        <v>586</v>
      </c>
      <c r="N392" s="7" t="str">
        <f t="shared" si="30"/>
        <v>2025</v>
      </c>
      <c r="O392" s="7" t="str">
        <f t="shared" si="31"/>
        <v>Nov</v>
      </c>
      <c r="P392" s="7" t="str">
        <f t="shared" si="32"/>
        <v>Tue</v>
      </c>
      <c r="Q392" t="str">
        <f t="shared" si="33"/>
        <v>Discounted</v>
      </c>
      <c r="R392" t="str">
        <f t="shared" si="34"/>
        <v>Check Return Policy</v>
      </c>
    </row>
    <row r="393" spans="1:18" x14ac:dyDescent="0.25">
      <c r="A393" s="4">
        <v>1392</v>
      </c>
      <c r="B393" s="5" t="s">
        <v>404</v>
      </c>
      <c r="C393" s="5" t="s">
        <v>511</v>
      </c>
      <c r="D393" s="5" t="s">
        <v>552</v>
      </c>
      <c r="E393" s="5" t="s">
        <v>570</v>
      </c>
      <c r="F393" s="5" t="s">
        <v>575</v>
      </c>
      <c r="G393" s="4">
        <v>14</v>
      </c>
      <c r="H393" s="4">
        <v>15</v>
      </c>
      <c r="I393" s="4">
        <v>0</v>
      </c>
      <c r="J393" s="6">
        <v>45781</v>
      </c>
      <c r="K393" t="s">
        <v>579</v>
      </c>
      <c r="L393" s="5" t="s">
        <v>584</v>
      </c>
      <c r="M393" s="5" t="s">
        <v>586</v>
      </c>
      <c r="N393" s="7" t="str">
        <f t="shared" si="30"/>
        <v>2025</v>
      </c>
      <c r="O393" s="7" t="str">
        <f t="shared" si="31"/>
        <v>May</v>
      </c>
      <c r="P393" s="7" t="str">
        <f t="shared" si="32"/>
        <v>Sun</v>
      </c>
      <c r="Q393" t="str">
        <f t="shared" si="33"/>
        <v>Full Price</v>
      </c>
      <c r="R393" t="str">
        <f t="shared" si="34"/>
        <v>Check Return Policy</v>
      </c>
    </row>
    <row r="394" spans="1:18" x14ac:dyDescent="0.25">
      <c r="A394" s="4">
        <v>1393</v>
      </c>
      <c r="B394" s="5" t="s">
        <v>405</v>
      </c>
      <c r="C394" s="5" t="s">
        <v>512</v>
      </c>
      <c r="D394" s="5" t="s">
        <v>526</v>
      </c>
      <c r="E394" s="5" t="s">
        <v>566</v>
      </c>
      <c r="F394" s="5" t="s">
        <v>576</v>
      </c>
      <c r="G394" s="4">
        <v>7</v>
      </c>
      <c r="H394" s="4">
        <v>382</v>
      </c>
      <c r="I394" s="4">
        <v>10</v>
      </c>
      <c r="J394" s="6">
        <v>45895</v>
      </c>
      <c r="K394" t="s">
        <v>580</v>
      </c>
      <c r="L394" s="5" t="s">
        <v>584</v>
      </c>
      <c r="M394" s="5" t="s">
        <v>586</v>
      </c>
      <c r="N394" s="7" t="str">
        <f t="shared" si="30"/>
        <v>2025</v>
      </c>
      <c r="O394" s="7" t="str">
        <f t="shared" si="31"/>
        <v>Aug</v>
      </c>
      <c r="P394" s="7" t="str">
        <f t="shared" si="32"/>
        <v>Tue</v>
      </c>
      <c r="Q394" t="str">
        <f t="shared" si="33"/>
        <v>Discounted</v>
      </c>
      <c r="R394" t="str">
        <f t="shared" si="34"/>
        <v>Check Return Policy</v>
      </c>
    </row>
    <row r="395" spans="1:18" x14ac:dyDescent="0.25">
      <c r="A395" s="4">
        <v>1394</v>
      </c>
      <c r="B395" s="5" t="s">
        <v>406</v>
      </c>
      <c r="C395" s="5" t="s">
        <v>514</v>
      </c>
      <c r="D395" s="5" t="s">
        <v>541</v>
      </c>
      <c r="E395" s="5" t="s">
        <v>572</v>
      </c>
      <c r="F395" s="5" t="s">
        <v>577</v>
      </c>
      <c r="G395" s="4">
        <v>15</v>
      </c>
      <c r="H395" s="4">
        <v>253</v>
      </c>
      <c r="I395" s="4">
        <v>15</v>
      </c>
      <c r="J395" s="6">
        <v>45924</v>
      </c>
      <c r="K395" t="s">
        <v>578</v>
      </c>
      <c r="L395" s="5" t="s">
        <v>584</v>
      </c>
      <c r="M395" s="5" t="s">
        <v>585</v>
      </c>
      <c r="N395" s="7" t="str">
        <f t="shared" si="30"/>
        <v>2025</v>
      </c>
      <c r="O395" s="7" t="str">
        <f t="shared" si="31"/>
        <v>Sep</v>
      </c>
      <c r="P395" s="7" t="str">
        <f t="shared" si="32"/>
        <v>Wed</v>
      </c>
      <c r="Q395" t="str">
        <f t="shared" si="33"/>
        <v>Discounted</v>
      </c>
      <c r="R395" t="str">
        <f t="shared" si="34"/>
        <v>No Action</v>
      </c>
    </row>
    <row r="396" spans="1:18" x14ac:dyDescent="0.25">
      <c r="A396" s="4">
        <v>1395</v>
      </c>
      <c r="B396" s="5" t="s">
        <v>407</v>
      </c>
      <c r="C396" s="5" t="s">
        <v>513</v>
      </c>
      <c r="D396" s="5" t="s">
        <v>560</v>
      </c>
      <c r="E396" s="5" t="s">
        <v>569</v>
      </c>
      <c r="F396" s="5" t="s">
        <v>576</v>
      </c>
      <c r="G396" s="4">
        <v>13</v>
      </c>
      <c r="H396" s="4">
        <v>660</v>
      </c>
      <c r="I396" s="4">
        <v>0</v>
      </c>
      <c r="J396" s="6">
        <v>45660</v>
      </c>
      <c r="K396" t="s">
        <v>581</v>
      </c>
      <c r="L396" s="5" t="s">
        <v>584</v>
      </c>
      <c r="M396" s="5" t="s">
        <v>586</v>
      </c>
      <c r="N396" s="7" t="str">
        <f t="shared" si="30"/>
        <v>2025</v>
      </c>
      <c r="O396" s="7" t="str">
        <f t="shared" si="31"/>
        <v>Jan</v>
      </c>
      <c r="P396" s="7" t="str">
        <f t="shared" si="32"/>
        <v>Fri</v>
      </c>
      <c r="Q396" t="str">
        <f t="shared" si="33"/>
        <v>Full Price</v>
      </c>
      <c r="R396" t="str">
        <f t="shared" si="34"/>
        <v>Check Return Policy</v>
      </c>
    </row>
    <row r="397" spans="1:18" x14ac:dyDescent="0.25">
      <c r="A397" s="4">
        <v>1396</v>
      </c>
      <c r="B397" s="5" t="s">
        <v>408</v>
      </c>
      <c r="C397" s="5" t="s">
        <v>511</v>
      </c>
      <c r="D397" s="5" t="s">
        <v>548</v>
      </c>
      <c r="E397" s="5" t="s">
        <v>570</v>
      </c>
      <c r="F397" s="5" t="s">
        <v>575</v>
      </c>
      <c r="G397" s="4">
        <v>6</v>
      </c>
      <c r="H397" s="4">
        <v>11</v>
      </c>
      <c r="I397" s="4">
        <v>15</v>
      </c>
      <c r="J397" s="6">
        <v>45787</v>
      </c>
      <c r="K397" t="s">
        <v>579</v>
      </c>
      <c r="L397" s="5" t="s">
        <v>584</v>
      </c>
      <c r="M397" s="5" t="s">
        <v>585</v>
      </c>
      <c r="N397" s="7" t="str">
        <f t="shared" si="30"/>
        <v>2025</v>
      </c>
      <c r="O397" s="7" t="str">
        <f t="shared" si="31"/>
        <v>May</v>
      </c>
      <c r="P397" s="7" t="str">
        <f t="shared" si="32"/>
        <v>Sat</v>
      </c>
      <c r="Q397" t="str">
        <f t="shared" si="33"/>
        <v>Discounted</v>
      </c>
      <c r="R397" t="str">
        <f t="shared" si="34"/>
        <v>No Action</v>
      </c>
    </row>
    <row r="398" spans="1:18" x14ac:dyDescent="0.25">
      <c r="A398" s="4">
        <v>1397</v>
      </c>
      <c r="B398" s="5" t="s">
        <v>409</v>
      </c>
      <c r="C398" s="5" t="s">
        <v>513</v>
      </c>
      <c r="D398" s="5" t="s">
        <v>520</v>
      </c>
      <c r="E398" s="5" t="s">
        <v>572</v>
      </c>
      <c r="F398" s="5" t="s">
        <v>577</v>
      </c>
      <c r="G398" s="4">
        <v>18</v>
      </c>
      <c r="H398" s="4">
        <v>219</v>
      </c>
      <c r="I398" s="4">
        <v>10</v>
      </c>
      <c r="J398" s="6">
        <v>45805</v>
      </c>
      <c r="K398" t="s">
        <v>580</v>
      </c>
      <c r="L398" s="5" t="s">
        <v>583</v>
      </c>
      <c r="M398" s="5" t="s">
        <v>586</v>
      </c>
      <c r="N398" s="7" t="str">
        <f t="shared" si="30"/>
        <v>2025</v>
      </c>
      <c r="O398" s="7" t="str">
        <f t="shared" si="31"/>
        <v>May</v>
      </c>
      <c r="P398" s="7" t="str">
        <f t="shared" si="32"/>
        <v>Wed</v>
      </c>
      <c r="Q398" t="str">
        <f t="shared" si="33"/>
        <v>Discounted</v>
      </c>
      <c r="R398" t="str">
        <f t="shared" si="34"/>
        <v>Check Return Policy</v>
      </c>
    </row>
    <row r="399" spans="1:18" x14ac:dyDescent="0.25">
      <c r="A399" s="4">
        <v>1398</v>
      </c>
      <c r="B399" s="5" t="s">
        <v>410</v>
      </c>
      <c r="C399" s="5" t="s">
        <v>511</v>
      </c>
      <c r="D399" s="5" t="s">
        <v>557</v>
      </c>
      <c r="E399" s="5" t="s">
        <v>570</v>
      </c>
      <c r="F399" s="5" t="s">
        <v>575</v>
      </c>
      <c r="G399" s="4">
        <v>12</v>
      </c>
      <c r="H399" s="4">
        <v>2</v>
      </c>
      <c r="I399" s="4">
        <v>5</v>
      </c>
      <c r="J399" s="6">
        <v>45687</v>
      </c>
      <c r="K399" t="s">
        <v>580</v>
      </c>
      <c r="L399" s="5" t="s">
        <v>584</v>
      </c>
      <c r="M399" s="5" t="s">
        <v>586</v>
      </c>
      <c r="N399" s="7" t="str">
        <f t="shared" si="30"/>
        <v>2025</v>
      </c>
      <c r="O399" s="7" t="str">
        <f t="shared" si="31"/>
        <v>Jan</v>
      </c>
      <c r="P399" s="7" t="str">
        <f t="shared" si="32"/>
        <v>Thu</v>
      </c>
      <c r="Q399" t="str">
        <f t="shared" si="33"/>
        <v>Discounted</v>
      </c>
      <c r="R399" t="str">
        <f t="shared" si="34"/>
        <v>Check Return Policy</v>
      </c>
    </row>
    <row r="400" spans="1:18" x14ac:dyDescent="0.25">
      <c r="A400" s="4">
        <v>1399</v>
      </c>
      <c r="B400" s="5" t="s">
        <v>411</v>
      </c>
      <c r="C400" s="5" t="s">
        <v>514</v>
      </c>
      <c r="D400" s="5" t="s">
        <v>551</v>
      </c>
      <c r="E400" s="5" t="s">
        <v>565</v>
      </c>
      <c r="F400" s="5" t="s">
        <v>575</v>
      </c>
      <c r="G400" s="4">
        <v>5</v>
      </c>
      <c r="H400" s="4">
        <v>9</v>
      </c>
      <c r="I400" s="4">
        <v>5</v>
      </c>
      <c r="J400" s="6">
        <v>45772</v>
      </c>
      <c r="K400" t="s">
        <v>578</v>
      </c>
      <c r="L400" s="5" t="s">
        <v>582</v>
      </c>
      <c r="M400" s="5" t="s">
        <v>585</v>
      </c>
      <c r="N400" s="7" t="str">
        <f t="shared" si="30"/>
        <v>2025</v>
      </c>
      <c r="O400" s="7" t="str">
        <f t="shared" si="31"/>
        <v>Apr</v>
      </c>
      <c r="P400" s="7" t="str">
        <f t="shared" si="32"/>
        <v>Fri</v>
      </c>
      <c r="Q400" t="str">
        <f t="shared" si="33"/>
        <v>Discounted</v>
      </c>
      <c r="R400" t="str">
        <f t="shared" si="34"/>
        <v>No Action</v>
      </c>
    </row>
    <row r="401" spans="1:18" x14ac:dyDescent="0.25">
      <c r="A401" s="4">
        <v>1400</v>
      </c>
      <c r="B401" s="5" t="s">
        <v>412</v>
      </c>
      <c r="C401" s="5" t="s">
        <v>511</v>
      </c>
      <c r="D401" s="5" t="s">
        <v>541</v>
      </c>
      <c r="E401" s="5" t="s">
        <v>568</v>
      </c>
      <c r="F401" s="5" t="s">
        <v>577</v>
      </c>
      <c r="G401" s="4">
        <v>18</v>
      </c>
      <c r="H401" s="4">
        <v>328</v>
      </c>
      <c r="I401" s="4">
        <v>15</v>
      </c>
      <c r="J401" s="6">
        <v>45969</v>
      </c>
      <c r="K401" t="s">
        <v>578</v>
      </c>
      <c r="L401" s="5" t="s">
        <v>582</v>
      </c>
      <c r="M401" s="5" t="s">
        <v>585</v>
      </c>
      <c r="N401" s="7" t="str">
        <f t="shared" si="30"/>
        <v>2025</v>
      </c>
      <c r="O401" s="7" t="str">
        <f t="shared" si="31"/>
        <v>Nov</v>
      </c>
      <c r="P401" s="7" t="str">
        <f t="shared" si="32"/>
        <v>Sat</v>
      </c>
      <c r="Q401" t="str">
        <f t="shared" si="33"/>
        <v>Discounted</v>
      </c>
      <c r="R401" t="str">
        <f t="shared" si="34"/>
        <v>No Action</v>
      </c>
    </row>
    <row r="402" spans="1:18" x14ac:dyDescent="0.25">
      <c r="A402" s="4">
        <v>1401</v>
      </c>
      <c r="B402" s="5" t="s">
        <v>413</v>
      </c>
      <c r="C402" s="5" t="s">
        <v>511</v>
      </c>
      <c r="D402" s="5" t="s">
        <v>517</v>
      </c>
      <c r="E402" s="5" t="s">
        <v>568</v>
      </c>
      <c r="F402" s="5" t="s">
        <v>577</v>
      </c>
      <c r="G402" s="4">
        <v>12</v>
      </c>
      <c r="H402" s="4">
        <v>185</v>
      </c>
      <c r="I402" s="4">
        <v>0</v>
      </c>
      <c r="J402" s="6">
        <v>45969</v>
      </c>
      <c r="K402" t="s">
        <v>578</v>
      </c>
      <c r="L402" s="5" t="s">
        <v>584</v>
      </c>
      <c r="M402" s="5" t="s">
        <v>585</v>
      </c>
      <c r="N402" s="7" t="str">
        <f t="shared" si="30"/>
        <v>2025</v>
      </c>
      <c r="O402" s="7" t="str">
        <f t="shared" si="31"/>
        <v>Nov</v>
      </c>
      <c r="P402" s="7" t="str">
        <f t="shared" si="32"/>
        <v>Sat</v>
      </c>
      <c r="Q402" t="str">
        <f t="shared" si="33"/>
        <v>Full Price</v>
      </c>
      <c r="R402" t="str">
        <f t="shared" si="34"/>
        <v>No Action</v>
      </c>
    </row>
    <row r="403" spans="1:18" x14ac:dyDescent="0.25">
      <c r="A403" s="4">
        <v>1402</v>
      </c>
      <c r="B403" s="5" t="s">
        <v>414</v>
      </c>
      <c r="C403" s="5" t="s">
        <v>513</v>
      </c>
      <c r="D403" s="5" t="s">
        <v>520</v>
      </c>
      <c r="E403" s="5" t="s">
        <v>569</v>
      </c>
      <c r="F403" s="5" t="s">
        <v>576</v>
      </c>
      <c r="G403" s="4">
        <v>6</v>
      </c>
      <c r="H403" s="4">
        <v>804</v>
      </c>
      <c r="I403" s="4">
        <v>15</v>
      </c>
      <c r="J403" s="6">
        <v>45942</v>
      </c>
      <c r="K403" t="s">
        <v>581</v>
      </c>
      <c r="L403" s="5" t="s">
        <v>583</v>
      </c>
      <c r="M403" s="5" t="s">
        <v>585</v>
      </c>
      <c r="N403" s="7" t="str">
        <f t="shared" si="30"/>
        <v>2025</v>
      </c>
      <c r="O403" s="7" t="str">
        <f t="shared" si="31"/>
        <v>Oct</v>
      </c>
      <c r="P403" s="7" t="str">
        <f t="shared" si="32"/>
        <v>Sun</v>
      </c>
      <c r="Q403" t="str">
        <f t="shared" si="33"/>
        <v>Discounted</v>
      </c>
      <c r="R403" t="str">
        <f t="shared" si="34"/>
        <v>No Action</v>
      </c>
    </row>
    <row r="404" spans="1:18" x14ac:dyDescent="0.25">
      <c r="A404" s="4">
        <v>1403</v>
      </c>
      <c r="B404" s="5" t="s">
        <v>415</v>
      </c>
      <c r="C404" s="5" t="s">
        <v>513</v>
      </c>
      <c r="D404" s="5" t="s">
        <v>536</v>
      </c>
      <c r="E404" s="5" t="s">
        <v>570</v>
      </c>
      <c r="F404" s="5" t="s">
        <v>575</v>
      </c>
      <c r="G404" s="4">
        <v>20</v>
      </c>
      <c r="H404" s="4">
        <v>4</v>
      </c>
      <c r="I404" s="4">
        <v>15</v>
      </c>
      <c r="J404" s="6">
        <v>45654</v>
      </c>
      <c r="K404" t="s">
        <v>581</v>
      </c>
      <c r="L404" s="5" t="s">
        <v>584</v>
      </c>
      <c r="M404" s="5" t="s">
        <v>586</v>
      </c>
      <c r="N404" s="7" t="str">
        <f t="shared" si="30"/>
        <v>2024</v>
      </c>
      <c r="O404" s="7" t="str">
        <f t="shared" si="31"/>
        <v>Dec</v>
      </c>
      <c r="P404" s="7" t="str">
        <f t="shared" si="32"/>
        <v>Sat</v>
      </c>
      <c r="Q404" t="str">
        <f t="shared" si="33"/>
        <v>Discounted</v>
      </c>
      <c r="R404" t="str">
        <f t="shared" si="34"/>
        <v>Check Return Policy</v>
      </c>
    </row>
    <row r="405" spans="1:18" x14ac:dyDescent="0.25">
      <c r="A405" s="4">
        <v>1404</v>
      </c>
      <c r="B405" s="5" t="s">
        <v>416</v>
      </c>
      <c r="C405" s="5" t="s">
        <v>511</v>
      </c>
      <c r="D405" s="5" t="s">
        <v>544</v>
      </c>
      <c r="E405" s="5" t="s">
        <v>569</v>
      </c>
      <c r="F405" s="5" t="s">
        <v>576</v>
      </c>
      <c r="G405" s="4">
        <v>8</v>
      </c>
      <c r="H405" s="4">
        <v>954</v>
      </c>
      <c r="I405" s="4">
        <v>5</v>
      </c>
      <c r="J405" s="6">
        <v>45961</v>
      </c>
      <c r="K405" t="s">
        <v>580</v>
      </c>
      <c r="L405" s="5" t="s">
        <v>584</v>
      </c>
      <c r="M405" s="5" t="s">
        <v>585</v>
      </c>
      <c r="N405" s="7" t="str">
        <f t="shared" si="30"/>
        <v>2025</v>
      </c>
      <c r="O405" s="7" t="str">
        <f t="shared" si="31"/>
        <v>Oct</v>
      </c>
      <c r="P405" s="7" t="str">
        <f t="shared" si="32"/>
        <v>Fri</v>
      </c>
      <c r="Q405" t="str">
        <f t="shared" si="33"/>
        <v>Discounted</v>
      </c>
      <c r="R405" t="str">
        <f t="shared" si="34"/>
        <v>No Action</v>
      </c>
    </row>
    <row r="406" spans="1:18" x14ac:dyDescent="0.25">
      <c r="A406" s="4">
        <v>1405</v>
      </c>
      <c r="B406" s="5" t="s">
        <v>417</v>
      </c>
      <c r="C406" s="5" t="s">
        <v>513</v>
      </c>
      <c r="D406" s="5" t="s">
        <v>524</v>
      </c>
      <c r="E406" s="5" t="s">
        <v>568</v>
      </c>
      <c r="F406" s="5" t="s">
        <v>577</v>
      </c>
      <c r="G406" s="4">
        <v>8</v>
      </c>
      <c r="H406" s="4">
        <v>483</v>
      </c>
      <c r="I406" s="4">
        <v>0</v>
      </c>
      <c r="J406" s="6">
        <v>45867</v>
      </c>
      <c r="K406" t="s">
        <v>581</v>
      </c>
      <c r="L406" s="5" t="s">
        <v>582</v>
      </c>
      <c r="M406" s="5" t="s">
        <v>585</v>
      </c>
      <c r="N406" s="7" t="str">
        <f t="shared" si="30"/>
        <v>2025</v>
      </c>
      <c r="O406" s="7" t="str">
        <f t="shared" si="31"/>
        <v>Jul</v>
      </c>
      <c r="P406" s="7" t="str">
        <f t="shared" si="32"/>
        <v>Tue</v>
      </c>
      <c r="Q406" t="str">
        <f t="shared" si="33"/>
        <v>Full Price</v>
      </c>
      <c r="R406" t="str">
        <f t="shared" si="34"/>
        <v>No Action</v>
      </c>
    </row>
    <row r="407" spans="1:18" x14ac:dyDescent="0.25">
      <c r="A407" s="4">
        <v>1406</v>
      </c>
      <c r="B407" s="5" t="s">
        <v>418</v>
      </c>
      <c r="C407" s="5" t="s">
        <v>514</v>
      </c>
      <c r="D407" s="5" t="s">
        <v>538</v>
      </c>
      <c r="E407" s="5" t="s">
        <v>565</v>
      </c>
      <c r="F407" s="5" t="s">
        <v>575</v>
      </c>
      <c r="G407" s="4">
        <v>19</v>
      </c>
      <c r="H407" s="4">
        <v>3</v>
      </c>
      <c r="I407" s="4">
        <v>0</v>
      </c>
      <c r="J407" s="6">
        <v>45922</v>
      </c>
      <c r="K407" t="s">
        <v>578</v>
      </c>
      <c r="L407" s="5" t="s">
        <v>584</v>
      </c>
      <c r="M407" s="5" t="s">
        <v>585</v>
      </c>
      <c r="N407" s="7" t="str">
        <f t="shared" si="30"/>
        <v>2025</v>
      </c>
      <c r="O407" s="7" t="str">
        <f t="shared" si="31"/>
        <v>Sep</v>
      </c>
      <c r="P407" s="7" t="str">
        <f t="shared" si="32"/>
        <v>Mon</v>
      </c>
      <c r="Q407" t="str">
        <f t="shared" si="33"/>
        <v>Full Price</v>
      </c>
      <c r="R407" t="str">
        <f t="shared" si="34"/>
        <v>No Action</v>
      </c>
    </row>
    <row r="408" spans="1:18" x14ac:dyDescent="0.25">
      <c r="A408" s="4">
        <v>1407</v>
      </c>
      <c r="B408" s="5" t="s">
        <v>419</v>
      </c>
      <c r="C408" s="5" t="s">
        <v>514</v>
      </c>
      <c r="D408" s="5" t="s">
        <v>522</v>
      </c>
      <c r="E408" s="5" t="s">
        <v>569</v>
      </c>
      <c r="F408" s="5" t="s">
        <v>576</v>
      </c>
      <c r="G408" s="4">
        <v>8</v>
      </c>
      <c r="H408" s="4">
        <v>873</v>
      </c>
      <c r="I408" s="4">
        <v>15</v>
      </c>
      <c r="J408" s="6">
        <v>45900</v>
      </c>
      <c r="K408" t="s">
        <v>578</v>
      </c>
      <c r="L408" s="5" t="s">
        <v>582</v>
      </c>
      <c r="M408" s="5" t="s">
        <v>586</v>
      </c>
      <c r="N408" s="7" t="str">
        <f t="shared" si="30"/>
        <v>2025</v>
      </c>
      <c r="O408" s="7" t="str">
        <f t="shared" si="31"/>
        <v>Aug</v>
      </c>
      <c r="P408" s="7" t="str">
        <f t="shared" si="32"/>
        <v>Sun</v>
      </c>
      <c r="Q408" t="str">
        <f t="shared" si="33"/>
        <v>Discounted</v>
      </c>
      <c r="R408" t="str">
        <f t="shared" si="34"/>
        <v>Check Return Policy</v>
      </c>
    </row>
    <row r="409" spans="1:18" x14ac:dyDescent="0.25">
      <c r="A409" s="4">
        <v>1408</v>
      </c>
      <c r="B409" s="5" t="s">
        <v>420</v>
      </c>
      <c r="C409" s="5" t="s">
        <v>512</v>
      </c>
      <c r="D409" s="5" t="s">
        <v>531</v>
      </c>
      <c r="E409" s="5" t="s">
        <v>571</v>
      </c>
      <c r="F409" s="5" t="s">
        <v>577</v>
      </c>
      <c r="G409" s="4">
        <v>17</v>
      </c>
      <c r="H409" s="4">
        <v>167</v>
      </c>
      <c r="I409" s="4">
        <v>15</v>
      </c>
      <c r="J409" s="6">
        <v>45845</v>
      </c>
      <c r="K409" t="s">
        <v>581</v>
      </c>
      <c r="L409" s="5" t="s">
        <v>583</v>
      </c>
      <c r="M409" s="5" t="s">
        <v>586</v>
      </c>
      <c r="N409" s="7" t="str">
        <f t="shared" si="30"/>
        <v>2025</v>
      </c>
      <c r="O409" s="7" t="str">
        <f t="shared" si="31"/>
        <v>Jul</v>
      </c>
      <c r="P409" s="7" t="str">
        <f t="shared" si="32"/>
        <v>Mon</v>
      </c>
      <c r="Q409" t="str">
        <f t="shared" si="33"/>
        <v>Discounted</v>
      </c>
      <c r="R409" t="str">
        <f t="shared" si="34"/>
        <v>Check Return Policy</v>
      </c>
    </row>
    <row r="410" spans="1:18" x14ac:dyDescent="0.25">
      <c r="A410" s="4">
        <v>1409</v>
      </c>
      <c r="B410" s="5" t="s">
        <v>421</v>
      </c>
      <c r="C410" s="5" t="s">
        <v>513</v>
      </c>
      <c r="D410" s="5" t="s">
        <v>542</v>
      </c>
      <c r="E410" s="5" t="s">
        <v>568</v>
      </c>
      <c r="F410" s="5" t="s">
        <v>577</v>
      </c>
      <c r="G410" s="4">
        <v>10</v>
      </c>
      <c r="H410" s="4">
        <v>358</v>
      </c>
      <c r="I410" s="4">
        <v>10</v>
      </c>
      <c r="J410" s="6">
        <v>45988</v>
      </c>
      <c r="K410" t="s">
        <v>579</v>
      </c>
      <c r="L410" s="5" t="s">
        <v>584</v>
      </c>
      <c r="M410" s="5" t="s">
        <v>585</v>
      </c>
      <c r="N410" s="7" t="str">
        <f t="shared" si="30"/>
        <v>2025</v>
      </c>
      <c r="O410" s="7" t="str">
        <f t="shared" si="31"/>
        <v>Nov</v>
      </c>
      <c r="P410" s="7" t="str">
        <f t="shared" si="32"/>
        <v>Thu</v>
      </c>
      <c r="Q410" t="str">
        <f t="shared" si="33"/>
        <v>Discounted</v>
      </c>
      <c r="R410" t="str">
        <f t="shared" si="34"/>
        <v>No Action</v>
      </c>
    </row>
    <row r="411" spans="1:18" x14ac:dyDescent="0.25">
      <c r="A411" s="4">
        <v>1410</v>
      </c>
      <c r="B411" s="5" t="s">
        <v>422</v>
      </c>
      <c r="C411" s="5" t="s">
        <v>513</v>
      </c>
      <c r="D411" s="5" t="s">
        <v>540</v>
      </c>
      <c r="E411" s="5" t="s">
        <v>570</v>
      </c>
      <c r="F411" s="5" t="s">
        <v>575</v>
      </c>
      <c r="G411" s="4">
        <v>12</v>
      </c>
      <c r="H411" s="4">
        <v>12</v>
      </c>
      <c r="I411" s="4">
        <v>0</v>
      </c>
      <c r="J411" s="6">
        <v>45757</v>
      </c>
      <c r="K411" t="s">
        <v>580</v>
      </c>
      <c r="L411" s="5" t="s">
        <v>583</v>
      </c>
      <c r="M411" s="5" t="s">
        <v>585</v>
      </c>
      <c r="N411" s="7" t="str">
        <f t="shared" si="30"/>
        <v>2025</v>
      </c>
      <c r="O411" s="7" t="str">
        <f t="shared" si="31"/>
        <v>Apr</v>
      </c>
      <c r="P411" s="7" t="str">
        <f t="shared" si="32"/>
        <v>Thu</v>
      </c>
      <c r="Q411" t="str">
        <f t="shared" si="33"/>
        <v>Full Price</v>
      </c>
      <c r="R411" t="str">
        <f t="shared" si="34"/>
        <v>No Action</v>
      </c>
    </row>
    <row r="412" spans="1:18" x14ac:dyDescent="0.25">
      <c r="A412" s="4">
        <v>1411</v>
      </c>
      <c r="B412" s="5" t="s">
        <v>423</v>
      </c>
      <c r="C412" s="5" t="s">
        <v>514</v>
      </c>
      <c r="D412" s="5" t="s">
        <v>560</v>
      </c>
      <c r="E412" s="5" t="s">
        <v>574</v>
      </c>
      <c r="F412" s="5" t="s">
        <v>576</v>
      </c>
      <c r="G412" s="4">
        <v>4</v>
      </c>
      <c r="H412" s="4">
        <v>80</v>
      </c>
      <c r="I412" s="4">
        <v>5</v>
      </c>
      <c r="J412" s="6">
        <v>45671</v>
      </c>
      <c r="K412" t="s">
        <v>579</v>
      </c>
      <c r="L412" s="5" t="s">
        <v>583</v>
      </c>
      <c r="M412" s="5" t="s">
        <v>586</v>
      </c>
      <c r="N412" s="7" t="str">
        <f t="shared" si="30"/>
        <v>2025</v>
      </c>
      <c r="O412" s="7" t="str">
        <f t="shared" si="31"/>
        <v>Jan</v>
      </c>
      <c r="P412" s="7" t="str">
        <f t="shared" si="32"/>
        <v>Tue</v>
      </c>
      <c r="Q412" t="str">
        <f t="shared" si="33"/>
        <v>Discounted</v>
      </c>
      <c r="R412" t="str">
        <f t="shared" si="34"/>
        <v>Check Return Policy</v>
      </c>
    </row>
    <row r="413" spans="1:18" x14ac:dyDescent="0.25">
      <c r="A413" s="4">
        <v>1412</v>
      </c>
      <c r="B413" s="5" t="s">
        <v>424</v>
      </c>
      <c r="C413" s="5" t="s">
        <v>512</v>
      </c>
      <c r="D413" s="5" t="s">
        <v>540</v>
      </c>
      <c r="E413" s="5" t="s">
        <v>565</v>
      </c>
      <c r="F413" s="5" t="s">
        <v>575</v>
      </c>
      <c r="G413" s="4">
        <v>16</v>
      </c>
      <c r="H413" s="4">
        <v>5</v>
      </c>
      <c r="I413" s="4">
        <v>0</v>
      </c>
      <c r="J413" s="6">
        <v>45791</v>
      </c>
      <c r="K413" t="s">
        <v>578</v>
      </c>
      <c r="L413" s="5" t="s">
        <v>584</v>
      </c>
      <c r="M413" s="5" t="s">
        <v>585</v>
      </c>
      <c r="N413" s="7" t="str">
        <f t="shared" si="30"/>
        <v>2025</v>
      </c>
      <c r="O413" s="7" t="str">
        <f t="shared" si="31"/>
        <v>May</v>
      </c>
      <c r="P413" s="7" t="str">
        <f t="shared" si="32"/>
        <v>Wed</v>
      </c>
      <c r="Q413" t="str">
        <f t="shared" si="33"/>
        <v>Full Price</v>
      </c>
      <c r="R413" t="str">
        <f t="shared" si="34"/>
        <v>No Action</v>
      </c>
    </row>
    <row r="414" spans="1:18" x14ac:dyDescent="0.25">
      <c r="A414" s="4">
        <v>1413</v>
      </c>
      <c r="B414" s="5" t="s">
        <v>425</v>
      </c>
      <c r="C414" s="5" t="s">
        <v>511</v>
      </c>
      <c r="D414" s="5" t="s">
        <v>542</v>
      </c>
      <c r="E414" s="5" t="s">
        <v>570</v>
      </c>
      <c r="F414" s="5" t="s">
        <v>575</v>
      </c>
      <c r="G414" s="4">
        <v>19</v>
      </c>
      <c r="H414" s="4">
        <v>15</v>
      </c>
      <c r="I414" s="4">
        <v>10</v>
      </c>
      <c r="J414" s="6">
        <v>45819</v>
      </c>
      <c r="K414" t="s">
        <v>578</v>
      </c>
      <c r="L414" s="5" t="s">
        <v>582</v>
      </c>
      <c r="M414" s="5" t="s">
        <v>585</v>
      </c>
      <c r="N414" s="7" t="str">
        <f t="shared" si="30"/>
        <v>2025</v>
      </c>
      <c r="O414" s="7" t="str">
        <f t="shared" si="31"/>
        <v>Jun</v>
      </c>
      <c r="P414" s="7" t="str">
        <f t="shared" si="32"/>
        <v>Wed</v>
      </c>
      <c r="Q414" t="str">
        <f t="shared" si="33"/>
        <v>Discounted</v>
      </c>
      <c r="R414" t="str">
        <f t="shared" si="34"/>
        <v>No Action</v>
      </c>
    </row>
    <row r="415" spans="1:18" x14ac:dyDescent="0.25">
      <c r="A415" s="4">
        <v>1414</v>
      </c>
      <c r="B415" s="5" t="s">
        <v>426</v>
      </c>
      <c r="C415" s="5" t="s">
        <v>511</v>
      </c>
      <c r="D415" s="5" t="s">
        <v>552</v>
      </c>
      <c r="E415" s="5" t="s">
        <v>572</v>
      </c>
      <c r="F415" s="5" t="s">
        <v>577</v>
      </c>
      <c r="G415" s="4">
        <v>20</v>
      </c>
      <c r="H415" s="4">
        <v>79</v>
      </c>
      <c r="I415" s="4">
        <v>5</v>
      </c>
      <c r="J415" s="6">
        <v>45840</v>
      </c>
      <c r="K415" t="s">
        <v>578</v>
      </c>
      <c r="L415" s="5" t="s">
        <v>583</v>
      </c>
      <c r="M415" s="5" t="s">
        <v>586</v>
      </c>
      <c r="N415" s="7" t="str">
        <f t="shared" si="30"/>
        <v>2025</v>
      </c>
      <c r="O415" s="7" t="str">
        <f t="shared" si="31"/>
        <v>Jul</v>
      </c>
      <c r="P415" s="7" t="str">
        <f t="shared" si="32"/>
        <v>Wed</v>
      </c>
      <c r="Q415" t="str">
        <f t="shared" si="33"/>
        <v>Discounted</v>
      </c>
      <c r="R415" t="str">
        <f t="shared" si="34"/>
        <v>Check Return Policy</v>
      </c>
    </row>
    <row r="416" spans="1:18" x14ac:dyDescent="0.25">
      <c r="A416" s="4">
        <v>1415</v>
      </c>
      <c r="B416" s="5" t="s">
        <v>427</v>
      </c>
      <c r="C416" s="5" t="s">
        <v>514</v>
      </c>
      <c r="D416" s="5" t="s">
        <v>545</v>
      </c>
      <c r="E416" s="5" t="s">
        <v>570</v>
      </c>
      <c r="F416" s="5" t="s">
        <v>575</v>
      </c>
      <c r="G416" s="4">
        <v>12</v>
      </c>
      <c r="H416" s="4">
        <v>8</v>
      </c>
      <c r="I416" s="4">
        <v>0</v>
      </c>
      <c r="J416" s="6">
        <v>45826</v>
      </c>
      <c r="K416" t="s">
        <v>580</v>
      </c>
      <c r="L416" s="5" t="s">
        <v>583</v>
      </c>
      <c r="M416" s="5" t="s">
        <v>586</v>
      </c>
      <c r="N416" s="7" t="str">
        <f t="shared" si="30"/>
        <v>2025</v>
      </c>
      <c r="O416" s="7" t="str">
        <f t="shared" si="31"/>
        <v>Jun</v>
      </c>
      <c r="P416" s="7" t="str">
        <f t="shared" si="32"/>
        <v>Wed</v>
      </c>
      <c r="Q416" t="str">
        <f t="shared" si="33"/>
        <v>Full Price</v>
      </c>
      <c r="R416" t="str">
        <f t="shared" si="34"/>
        <v>Check Return Policy</v>
      </c>
    </row>
    <row r="417" spans="1:18" x14ac:dyDescent="0.25">
      <c r="A417" s="4">
        <v>1416</v>
      </c>
      <c r="B417" s="5" t="s">
        <v>428</v>
      </c>
      <c r="C417" s="5" t="s">
        <v>512</v>
      </c>
      <c r="D417" s="5" t="s">
        <v>560</v>
      </c>
      <c r="E417" s="5" t="s">
        <v>571</v>
      </c>
      <c r="F417" s="5" t="s">
        <v>577</v>
      </c>
      <c r="G417" s="4">
        <v>3</v>
      </c>
      <c r="H417" s="4">
        <v>113</v>
      </c>
      <c r="I417" s="4">
        <v>15</v>
      </c>
      <c r="J417" s="6">
        <v>45861</v>
      </c>
      <c r="K417" t="s">
        <v>581</v>
      </c>
      <c r="L417" s="5" t="s">
        <v>584</v>
      </c>
      <c r="M417" s="5" t="s">
        <v>586</v>
      </c>
      <c r="N417" s="7" t="str">
        <f t="shared" si="30"/>
        <v>2025</v>
      </c>
      <c r="O417" s="7" t="str">
        <f t="shared" si="31"/>
        <v>Jul</v>
      </c>
      <c r="P417" s="7" t="str">
        <f t="shared" si="32"/>
        <v>Wed</v>
      </c>
      <c r="Q417" t="str">
        <f t="shared" si="33"/>
        <v>Discounted</v>
      </c>
      <c r="R417" t="str">
        <f t="shared" si="34"/>
        <v>Check Return Policy</v>
      </c>
    </row>
    <row r="418" spans="1:18" x14ac:dyDescent="0.25">
      <c r="A418" s="4">
        <v>1417</v>
      </c>
      <c r="B418" s="5" t="s">
        <v>429</v>
      </c>
      <c r="C418" s="5" t="s">
        <v>512</v>
      </c>
      <c r="D418" s="5" t="s">
        <v>561</v>
      </c>
      <c r="E418" s="5" t="s">
        <v>573</v>
      </c>
      <c r="F418" s="5" t="s">
        <v>576</v>
      </c>
      <c r="G418" s="4">
        <v>16</v>
      </c>
      <c r="H418" s="4">
        <v>228</v>
      </c>
      <c r="I418" s="4">
        <v>5</v>
      </c>
      <c r="J418" s="6">
        <v>45858</v>
      </c>
      <c r="K418" t="s">
        <v>581</v>
      </c>
      <c r="L418" s="5" t="s">
        <v>582</v>
      </c>
      <c r="M418" s="5" t="s">
        <v>585</v>
      </c>
      <c r="N418" s="7" t="str">
        <f t="shared" si="30"/>
        <v>2025</v>
      </c>
      <c r="O418" s="7" t="str">
        <f t="shared" si="31"/>
        <v>Jul</v>
      </c>
      <c r="P418" s="7" t="str">
        <f t="shared" si="32"/>
        <v>Sun</v>
      </c>
      <c r="Q418" t="str">
        <f t="shared" si="33"/>
        <v>Discounted</v>
      </c>
      <c r="R418" t="str">
        <f t="shared" si="34"/>
        <v>No Action</v>
      </c>
    </row>
    <row r="419" spans="1:18" x14ac:dyDescent="0.25">
      <c r="A419" s="4">
        <v>1418</v>
      </c>
      <c r="B419" s="5" t="s">
        <v>430</v>
      </c>
      <c r="C419" s="5" t="s">
        <v>511</v>
      </c>
      <c r="D419" s="5" t="s">
        <v>550</v>
      </c>
      <c r="E419" s="5" t="s">
        <v>571</v>
      </c>
      <c r="F419" s="5" t="s">
        <v>577</v>
      </c>
      <c r="G419" s="4">
        <v>20</v>
      </c>
      <c r="H419" s="4">
        <v>75</v>
      </c>
      <c r="I419" s="4">
        <v>10</v>
      </c>
      <c r="J419" s="6">
        <v>45907</v>
      </c>
      <c r="K419" t="s">
        <v>579</v>
      </c>
      <c r="L419" s="5" t="s">
        <v>583</v>
      </c>
      <c r="M419" s="5" t="s">
        <v>585</v>
      </c>
      <c r="N419" s="7" t="str">
        <f t="shared" si="30"/>
        <v>2025</v>
      </c>
      <c r="O419" s="7" t="str">
        <f t="shared" si="31"/>
        <v>Sep</v>
      </c>
      <c r="P419" s="7" t="str">
        <f t="shared" si="32"/>
        <v>Sun</v>
      </c>
      <c r="Q419" t="str">
        <f t="shared" si="33"/>
        <v>Discounted</v>
      </c>
      <c r="R419" t="str">
        <f t="shared" si="34"/>
        <v>No Action</v>
      </c>
    </row>
    <row r="420" spans="1:18" x14ac:dyDescent="0.25">
      <c r="A420" s="4">
        <v>1419</v>
      </c>
      <c r="B420" s="5" t="s">
        <v>431</v>
      </c>
      <c r="C420" s="5" t="s">
        <v>513</v>
      </c>
      <c r="D420" s="5" t="s">
        <v>540</v>
      </c>
      <c r="E420" s="5" t="s">
        <v>569</v>
      </c>
      <c r="F420" s="5" t="s">
        <v>576</v>
      </c>
      <c r="G420" s="4">
        <v>17</v>
      </c>
      <c r="H420" s="4">
        <v>743</v>
      </c>
      <c r="I420" s="4">
        <v>10</v>
      </c>
      <c r="J420" s="6">
        <v>45923</v>
      </c>
      <c r="K420" t="s">
        <v>581</v>
      </c>
      <c r="L420" s="5" t="s">
        <v>582</v>
      </c>
      <c r="M420" s="5" t="s">
        <v>585</v>
      </c>
      <c r="N420" s="7" t="str">
        <f t="shared" si="30"/>
        <v>2025</v>
      </c>
      <c r="O420" s="7" t="str">
        <f t="shared" si="31"/>
        <v>Sep</v>
      </c>
      <c r="P420" s="7" t="str">
        <f t="shared" si="32"/>
        <v>Tue</v>
      </c>
      <c r="Q420" t="str">
        <f t="shared" si="33"/>
        <v>Discounted</v>
      </c>
      <c r="R420" t="str">
        <f t="shared" si="34"/>
        <v>No Action</v>
      </c>
    </row>
    <row r="421" spans="1:18" x14ac:dyDescent="0.25">
      <c r="A421" s="4">
        <v>1420</v>
      </c>
      <c r="B421" s="5" t="s">
        <v>432</v>
      </c>
      <c r="C421" s="5" t="s">
        <v>511</v>
      </c>
      <c r="D421" s="5" t="s">
        <v>544</v>
      </c>
      <c r="E421" s="5" t="s">
        <v>565</v>
      </c>
      <c r="F421" s="5" t="s">
        <v>575</v>
      </c>
      <c r="G421" s="4">
        <v>6</v>
      </c>
      <c r="H421" s="4">
        <v>1</v>
      </c>
      <c r="I421" s="4">
        <v>0</v>
      </c>
      <c r="J421" s="6">
        <v>45838</v>
      </c>
      <c r="K421" t="s">
        <v>578</v>
      </c>
      <c r="L421" s="5" t="s">
        <v>583</v>
      </c>
      <c r="M421" s="5" t="s">
        <v>585</v>
      </c>
      <c r="N421" s="7" t="str">
        <f t="shared" si="30"/>
        <v>2025</v>
      </c>
      <c r="O421" s="7" t="str">
        <f t="shared" si="31"/>
        <v>Jun</v>
      </c>
      <c r="P421" s="7" t="str">
        <f t="shared" si="32"/>
        <v>Mon</v>
      </c>
      <c r="Q421" t="str">
        <f t="shared" si="33"/>
        <v>Full Price</v>
      </c>
      <c r="R421" t="str">
        <f t="shared" si="34"/>
        <v>No Action</v>
      </c>
    </row>
    <row r="422" spans="1:18" x14ac:dyDescent="0.25">
      <c r="A422" s="4">
        <v>1421</v>
      </c>
      <c r="B422" s="5" t="s">
        <v>433</v>
      </c>
      <c r="C422" s="5" t="s">
        <v>514</v>
      </c>
      <c r="D422" s="5" t="s">
        <v>557</v>
      </c>
      <c r="E422" s="5" t="s">
        <v>571</v>
      </c>
      <c r="F422" s="5" t="s">
        <v>577</v>
      </c>
      <c r="G422" s="4">
        <v>12</v>
      </c>
      <c r="H422" s="4">
        <v>249</v>
      </c>
      <c r="I422" s="4">
        <v>5</v>
      </c>
      <c r="J422" s="6">
        <v>45723</v>
      </c>
      <c r="K422" t="s">
        <v>578</v>
      </c>
      <c r="L422" s="5" t="s">
        <v>582</v>
      </c>
      <c r="M422" s="5" t="s">
        <v>586</v>
      </c>
      <c r="N422" s="7" t="str">
        <f t="shared" si="30"/>
        <v>2025</v>
      </c>
      <c r="O422" s="7" t="str">
        <f t="shared" si="31"/>
        <v>Mar</v>
      </c>
      <c r="P422" s="7" t="str">
        <f t="shared" si="32"/>
        <v>Fri</v>
      </c>
      <c r="Q422" t="str">
        <f t="shared" si="33"/>
        <v>Discounted</v>
      </c>
      <c r="R422" t="str">
        <f t="shared" si="34"/>
        <v>Check Return Policy</v>
      </c>
    </row>
    <row r="423" spans="1:18" x14ac:dyDescent="0.25">
      <c r="A423" s="4">
        <v>1422</v>
      </c>
      <c r="B423" s="5" t="s">
        <v>434</v>
      </c>
      <c r="C423" s="5" t="s">
        <v>511</v>
      </c>
      <c r="D423" s="5" t="s">
        <v>528</v>
      </c>
      <c r="E423" s="5" t="s">
        <v>573</v>
      </c>
      <c r="F423" s="5" t="s">
        <v>576</v>
      </c>
      <c r="G423" s="4">
        <v>18</v>
      </c>
      <c r="H423" s="4">
        <v>354</v>
      </c>
      <c r="I423" s="4">
        <v>15</v>
      </c>
      <c r="J423" s="6">
        <v>45683</v>
      </c>
      <c r="K423" t="s">
        <v>579</v>
      </c>
      <c r="L423" s="5" t="s">
        <v>583</v>
      </c>
      <c r="M423" s="5" t="s">
        <v>585</v>
      </c>
      <c r="N423" s="7" t="str">
        <f t="shared" si="30"/>
        <v>2025</v>
      </c>
      <c r="O423" s="7" t="str">
        <f t="shared" si="31"/>
        <v>Jan</v>
      </c>
      <c r="P423" s="7" t="str">
        <f t="shared" si="32"/>
        <v>Sun</v>
      </c>
      <c r="Q423" t="str">
        <f t="shared" si="33"/>
        <v>Discounted</v>
      </c>
      <c r="R423" t="str">
        <f t="shared" si="34"/>
        <v>No Action</v>
      </c>
    </row>
    <row r="424" spans="1:18" x14ac:dyDescent="0.25">
      <c r="A424" s="4">
        <v>1423</v>
      </c>
      <c r="B424" s="5" t="s">
        <v>435</v>
      </c>
      <c r="C424" s="5" t="s">
        <v>511</v>
      </c>
      <c r="D424" s="5" t="s">
        <v>540</v>
      </c>
      <c r="E424" s="5" t="s">
        <v>565</v>
      </c>
      <c r="F424" s="5" t="s">
        <v>575</v>
      </c>
      <c r="G424" s="4">
        <v>10</v>
      </c>
      <c r="H424" s="4">
        <v>8</v>
      </c>
      <c r="I424" s="4">
        <v>5</v>
      </c>
      <c r="J424" s="6">
        <v>45938</v>
      </c>
      <c r="K424" t="s">
        <v>580</v>
      </c>
      <c r="L424" s="5" t="s">
        <v>582</v>
      </c>
      <c r="M424" s="5" t="s">
        <v>586</v>
      </c>
      <c r="N424" s="7" t="str">
        <f t="shared" si="30"/>
        <v>2025</v>
      </c>
      <c r="O424" s="7" t="str">
        <f t="shared" si="31"/>
        <v>Oct</v>
      </c>
      <c r="P424" s="7" t="str">
        <f t="shared" si="32"/>
        <v>Wed</v>
      </c>
      <c r="Q424" t="str">
        <f t="shared" si="33"/>
        <v>Discounted</v>
      </c>
      <c r="R424" t="str">
        <f t="shared" si="34"/>
        <v>Check Return Policy</v>
      </c>
    </row>
    <row r="425" spans="1:18" x14ac:dyDescent="0.25">
      <c r="A425" s="4">
        <v>1424</v>
      </c>
      <c r="B425" s="5" t="s">
        <v>436</v>
      </c>
      <c r="C425" s="5" t="s">
        <v>511</v>
      </c>
      <c r="D425" s="5" t="s">
        <v>550</v>
      </c>
      <c r="E425" s="5" t="s">
        <v>567</v>
      </c>
      <c r="F425" s="5" t="s">
        <v>576</v>
      </c>
      <c r="G425" s="4">
        <v>14</v>
      </c>
      <c r="H425" s="4">
        <v>953</v>
      </c>
      <c r="I425" s="4">
        <v>5</v>
      </c>
      <c r="J425" s="6">
        <v>45893</v>
      </c>
      <c r="K425" t="s">
        <v>580</v>
      </c>
      <c r="L425" s="5" t="s">
        <v>582</v>
      </c>
      <c r="M425" s="5" t="s">
        <v>585</v>
      </c>
      <c r="N425" s="7" t="str">
        <f t="shared" si="30"/>
        <v>2025</v>
      </c>
      <c r="O425" s="7" t="str">
        <f t="shared" si="31"/>
        <v>Aug</v>
      </c>
      <c r="P425" s="7" t="str">
        <f t="shared" si="32"/>
        <v>Sun</v>
      </c>
      <c r="Q425" t="str">
        <f t="shared" si="33"/>
        <v>Discounted</v>
      </c>
      <c r="R425" t="str">
        <f t="shared" si="34"/>
        <v>No Action</v>
      </c>
    </row>
    <row r="426" spans="1:18" x14ac:dyDescent="0.25">
      <c r="A426" s="4">
        <v>1425</v>
      </c>
      <c r="B426" s="5" t="s">
        <v>437</v>
      </c>
      <c r="C426" s="5" t="s">
        <v>513</v>
      </c>
      <c r="D426" s="5" t="s">
        <v>553</v>
      </c>
      <c r="E426" s="5" t="s">
        <v>568</v>
      </c>
      <c r="F426" s="5" t="s">
        <v>577</v>
      </c>
      <c r="G426" s="4">
        <v>4</v>
      </c>
      <c r="H426" s="4">
        <v>375</v>
      </c>
      <c r="I426" s="4">
        <v>10</v>
      </c>
      <c r="J426" s="6">
        <v>45940</v>
      </c>
      <c r="K426" t="s">
        <v>581</v>
      </c>
      <c r="L426" s="5" t="s">
        <v>584</v>
      </c>
      <c r="M426" s="5" t="s">
        <v>585</v>
      </c>
      <c r="N426" s="7" t="str">
        <f t="shared" si="30"/>
        <v>2025</v>
      </c>
      <c r="O426" s="7" t="str">
        <f t="shared" si="31"/>
        <v>Oct</v>
      </c>
      <c r="P426" s="7" t="str">
        <f t="shared" si="32"/>
        <v>Fri</v>
      </c>
      <c r="Q426" t="str">
        <f t="shared" si="33"/>
        <v>Discounted</v>
      </c>
      <c r="R426" t="str">
        <f t="shared" si="34"/>
        <v>No Action</v>
      </c>
    </row>
    <row r="427" spans="1:18" x14ac:dyDescent="0.25">
      <c r="A427" s="4">
        <v>1426</v>
      </c>
      <c r="B427" s="5" t="s">
        <v>438</v>
      </c>
      <c r="C427" s="5" t="s">
        <v>512</v>
      </c>
      <c r="D427" s="5" t="s">
        <v>526</v>
      </c>
      <c r="E427" s="5" t="s">
        <v>566</v>
      </c>
      <c r="F427" s="5" t="s">
        <v>576</v>
      </c>
      <c r="G427" s="4">
        <v>8</v>
      </c>
      <c r="H427" s="4">
        <v>317</v>
      </c>
      <c r="I427" s="4">
        <v>10</v>
      </c>
      <c r="J427" s="6">
        <v>45961</v>
      </c>
      <c r="K427" t="s">
        <v>580</v>
      </c>
      <c r="L427" s="5" t="s">
        <v>584</v>
      </c>
      <c r="M427" s="5" t="s">
        <v>585</v>
      </c>
      <c r="N427" s="7" t="str">
        <f t="shared" si="30"/>
        <v>2025</v>
      </c>
      <c r="O427" s="7" t="str">
        <f t="shared" si="31"/>
        <v>Oct</v>
      </c>
      <c r="P427" s="7" t="str">
        <f t="shared" si="32"/>
        <v>Fri</v>
      </c>
      <c r="Q427" t="str">
        <f t="shared" si="33"/>
        <v>Discounted</v>
      </c>
      <c r="R427" t="str">
        <f t="shared" si="34"/>
        <v>No Action</v>
      </c>
    </row>
    <row r="428" spans="1:18" x14ac:dyDescent="0.25">
      <c r="A428" s="4">
        <v>1427</v>
      </c>
      <c r="B428" s="5" t="s">
        <v>439</v>
      </c>
      <c r="C428" s="5" t="s">
        <v>514</v>
      </c>
      <c r="D428" s="5" t="s">
        <v>518</v>
      </c>
      <c r="E428" s="5" t="s">
        <v>574</v>
      </c>
      <c r="F428" s="5" t="s">
        <v>576</v>
      </c>
      <c r="G428" s="4">
        <v>9</v>
      </c>
      <c r="H428" s="4">
        <v>83</v>
      </c>
      <c r="I428" s="4">
        <v>0</v>
      </c>
      <c r="J428" s="6">
        <v>45850</v>
      </c>
      <c r="K428" t="s">
        <v>578</v>
      </c>
      <c r="L428" s="5" t="s">
        <v>582</v>
      </c>
      <c r="M428" s="5" t="s">
        <v>586</v>
      </c>
      <c r="N428" s="7" t="str">
        <f t="shared" si="30"/>
        <v>2025</v>
      </c>
      <c r="O428" s="7" t="str">
        <f t="shared" si="31"/>
        <v>Jul</v>
      </c>
      <c r="P428" s="7" t="str">
        <f t="shared" si="32"/>
        <v>Sat</v>
      </c>
      <c r="Q428" t="str">
        <f t="shared" si="33"/>
        <v>Full Price</v>
      </c>
      <c r="R428" t="str">
        <f t="shared" si="34"/>
        <v>Check Return Policy</v>
      </c>
    </row>
    <row r="429" spans="1:18" x14ac:dyDescent="0.25">
      <c r="A429" s="4">
        <v>1428</v>
      </c>
      <c r="B429" s="5" t="s">
        <v>440</v>
      </c>
      <c r="C429" s="5" t="s">
        <v>514</v>
      </c>
      <c r="D429" s="5" t="s">
        <v>562</v>
      </c>
      <c r="E429" s="5" t="s">
        <v>567</v>
      </c>
      <c r="F429" s="5" t="s">
        <v>576</v>
      </c>
      <c r="G429" s="4">
        <v>4</v>
      </c>
      <c r="H429" s="4">
        <v>1078</v>
      </c>
      <c r="I429" s="4">
        <v>0</v>
      </c>
      <c r="J429" s="6">
        <v>45960</v>
      </c>
      <c r="K429" t="s">
        <v>578</v>
      </c>
      <c r="L429" s="5" t="s">
        <v>584</v>
      </c>
      <c r="M429" s="5" t="s">
        <v>585</v>
      </c>
      <c r="N429" s="7" t="str">
        <f t="shared" si="30"/>
        <v>2025</v>
      </c>
      <c r="O429" s="7" t="str">
        <f t="shared" si="31"/>
        <v>Oct</v>
      </c>
      <c r="P429" s="7" t="str">
        <f t="shared" si="32"/>
        <v>Thu</v>
      </c>
      <c r="Q429" t="str">
        <f t="shared" si="33"/>
        <v>Full Price</v>
      </c>
      <c r="R429" t="str">
        <f t="shared" si="34"/>
        <v>No Action</v>
      </c>
    </row>
    <row r="430" spans="1:18" x14ac:dyDescent="0.25">
      <c r="A430" s="4">
        <v>1429</v>
      </c>
      <c r="B430" s="5" t="s">
        <v>441</v>
      </c>
      <c r="C430" s="5" t="s">
        <v>512</v>
      </c>
      <c r="D430" s="5" t="s">
        <v>548</v>
      </c>
      <c r="E430" s="5" t="s">
        <v>568</v>
      </c>
      <c r="F430" s="5" t="s">
        <v>577</v>
      </c>
      <c r="G430" s="4">
        <v>1</v>
      </c>
      <c r="H430" s="4">
        <v>447</v>
      </c>
      <c r="I430" s="4">
        <v>15</v>
      </c>
      <c r="J430" s="6">
        <v>45712</v>
      </c>
      <c r="K430" t="s">
        <v>581</v>
      </c>
      <c r="L430" s="5" t="s">
        <v>584</v>
      </c>
      <c r="M430" s="5" t="s">
        <v>586</v>
      </c>
      <c r="N430" s="7" t="str">
        <f t="shared" si="30"/>
        <v>2025</v>
      </c>
      <c r="O430" s="7" t="str">
        <f t="shared" si="31"/>
        <v>Feb</v>
      </c>
      <c r="P430" s="7" t="str">
        <f t="shared" si="32"/>
        <v>Mon</v>
      </c>
      <c r="Q430" t="str">
        <f t="shared" si="33"/>
        <v>Discounted</v>
      </c>
      <c r="R430" t="str">
        <f t="shared" si="34"/>
        <v>Check Return Policy</v>
      </c>
    </row>
    <row r="431" spans="1:18" x14ac:dyDescent="0.25">
      <c r="A431" s="4">
        <v>1430</v>
      </c>
      <c r="B431" s="5" t="s">
        <v>442</v>
      </c>
      <c r="C431" s="5" t="s">
        <v>511</v>
      </c>
      <c r="D431" s="5" t="s">
        <v>563</v>
      </c>
      <c r="E431" s="5" t="s">
        <v>566</v>
      </c>
      <c r="F431" s="5" t="s">
        <v>576</v>
      </c>
      <c r="G431" s="4">
        <v>2</v>
      </c>
      <c r="H431" s="4">
        <v>264</v>
      </c>
      <c r="I431" s="4">
        <v>15</v>
      </c>
      <c r="J431" s="6">
        <v>45900</v>
      </c>
      <c r="K431" t="s">
        <v>581</v>
      </c>
      <c r="L431" s="5" t="s">
        <v>584</v>
      </c>
      <c r="M431" s="5" t="s">
        <v>585</v>
      </c>
      <c r="N431" s="7" t="str">
        <f t="shared" si="30"/>
        <v>2025</v>
      </c>
      <c r="O431" s="7" t="str">
        <f t="shared" si="31"/>
        <v>Aug</v>
      </c>
      <c r="P431" s="7" t="str">
        <f t="shared" si="32"/>
        <v>Sun</v>
      </c>
      <c r="Q431" t="str">
        <f t="shared" si="33"/>
        <v>Discounted</v>
      </c>
      <c r="R431" t="str">
        <f t="shared" si="34"/>
        <v>No Action</v>
      </c>
    </row>
    <row r="432" spans="1:18" x14ac:dyDescent="0.25">
      <c r="A432" s="4">
        <v>1431</v>
      </c>
      <c r="B432" s="5" t="s">
        <v>443</v>
      </c>
      <c r="C432" s="5" t="s">
        <v>513</v>
      </c>
      <c r="D432" s="5" t="s">
        <v>544</v>
      </c>
      <c r="E432" s="5" t="s">
        <v>574</v>
      </c>
      <c r="F432" s="5" t="s">
        <v>576</v>
      </c>
      <c r="G432" s="4">
        <v>7</v>
      </c>
      <c r="H432" s="4">
        <v>126</v>
      </c>
      <c r="I432" s="4">
        <v>5</v>
      </c>
      <c r="J432" s="6">
        <v>45836</v>
      </c>
      <c r="K432" t="s">
        <v>580</v>
      </c>
      <c r="L432" s="5" t="s">
        <v>583</v>
      </c>
      <c r="M432" s="5" t="s">
        <v>585</v>
      </c>
      <c r="N432" s="7" t="str">
        <f t="shared" si="30"/>
        <v>2025</v>
      </c>
      <c r="O432" s="7" t="str">
        <f t="shared" si="31"/>
        <v>Jun</v>
      </c>
      <c r="P432" s="7" t="str">
        <f t="shared" si="32"/>
        <v>Sat</v>
      </c>
      <c r="Q432" t="str">
        <f t="shared" si="33"/>
        <v>Discounted</v>
      </c>
      <c r="R432" t="str">
        <f t="shared" si="34"/>
        <v>No Action</v>
      </c>
    </row>
    <row r="433" spans="1:18" x14ac:dyDescent="0.25">
      <c r="A433" s="4">
        <v>1432</v>
      </c>
      <c r="B433" s="5" t="s">
        <v>444</v>
      </c>
      <c r="C433" s="5" t="s">
        <v>513</v>
      </c>
      <c r="D433" s="5" t="s">
        <v>545</v>
      </c>
      <c r="E433" s="5" t="s">
        <v>571</v>
      </c>
      <c r="F433" s="5" t="s">
        <v>577</v>
      </c>
      <c r="G433" s="4">
        <v>1</v>
      </c>
      <c r="H433" s="4">
        <v>107</v>
      </c>
      <c r="I433" s="4">
        <v>5</v>
      </c>
      <c r="J433" s="6">
        <v>45880</v>
      </c>
      <c r="K433" t="s">
        <v>578</v>
      </c>
      <c r="L433" s="5" t="s">
        <v>582</v>
      </c>
      <c r="M433" s="5" t="s">
        <v>585</v>
      </c>
      <c r="N433" s="7" t="str">
        <f t="shared" si="30"/>
        <v>2025</v>
      </c>
      <c r="O433" s="7" t="str">
        <f t="shared" si="31"/>
        <v>Aug</v>
      </c>
      <c r="P433" s="7" t="str">
        <f t="shared" si="32"/>
        <v>Mon</v>
      </c>
      <c r="Q433" t="str">
        <f t="shared" si="33"/>
        <v>Discounted</v>
      </c>
      <c r="R433" t="str">
        <f t="shared" si="34"/>
        <v>No Action</v>
      </c>
    </row>
    <row r="434" spans="1:18" x14ac:dyDescent="0.25">
      <c r="A434" s="4">
        <v>1433</v>
      </c>
      <c r="B434" s="5" t="s">
        <v>445</v>
      </c>
      <c r="C434" s="5" t="s">
        <v>513</v>
      </c>
      <c r="D434" s="5" t="s">
        <v>537</v>
      </c>
      <c r="E434" s="5" t="s">
        <v>567</v>
      </c>
      <c r="F434" s="5" t="s">
        <v>576</v>
      </c>
      <c r="G434" s="4">
        <v>3</v>
      </c>
      <c r="H434" s="4">
        <v>1179</v>
      </c>
      <c r="I434" s="4">
        <v>5</v>
      </c>
      <c r="J434" s="6">
        <v>45675</v>
      </c>
      <c r="K434" t="s">
        <v>580</v>
      </c>
      <c r="L434" s="5" t="s">
        <v>582</v>
      </c>
      <c r="M434" s="5" t="s">
        <v>586</v>
      </c>
      <c r="N434" s="7" t="str">
        <f t="shared" si="30"/>
        <v>2025</v>
      </c>
      <c r="O434" s="7" t="str">
        <f t="shared" si="31"/>
        <v>Jan</v>
      </c>
      <c r="P434" s="7" t="str">
        <f t="shared" si="32"/>
        <v>Sat</v>
      </c>
      <c r="Q434" t="str">
        <f t="shared" si="33"/>
        <v>Discounted</v>
      </c>
      <c r="R434" t="str">
        <f t="shared" si="34"/>
        <v>Check Return Policy</v>
      </c>
    </row>
    <row r="435" spans="1:18" x14ac:dyDescent="0.25">
      <c r="A435" s="4">
        <v>1434</v>
      </c>
      <c r="B435" s="5" t="s">
        <v>446</v>
      </c>
      <c r="C435" s="5" t="s">
        <v>511</v>
      </c>
      <c r="D435" s="5" t="s">
        <v>562</v>
      </c>
      <c r="E435" s="5" t="s">
        <v>568</v>
      </c>
      <c r="F435" s="5" t="s">
        <v>577</v>
      </c>
      <c r="G435" s="4">
        <v>7</v>
      </c>
      <c r="H435" s="4">
        <v>200</v>
      </c>
      <c r="I435" s="4">
        <v>0</v>
      </c>
      <c r="J435" s="6">
        <v>45683</v>
      </c>
      <c r="K435" t="s">
        <v>578</v>
      </c>
      <c r="L435" s="5" t="s">
        <v>583</v>
      </c>
      <c r="M435" s="5" t="s">
        <v>585</v>
      </c>
      <c r="N435" s="7" t="str">
        <f t="shared" si="30"/>
        <v>2025</v>
      </c>
      <c r="O435" s="7" t="str">
        <f t="shared" si="31"/>
        <v>Jan</v>
      </c>
      <c r="P435" s="7" t="str">
        <f t="shared" si="32"/>
        <v>Sun</v>
      </c>
      <c r="Q435" t="str">
        <f t="shared" si="33"/>
        <v>Full Price</v>
      </c>
      <c r="R435" t="str">
        <f t="shared" si="34"/>
        <v>No Action</v>
      </c>
    </row>
    <row r="436" spans="1:18" x14ac:dyDescent="0.25">
      <c r="A436" s="4">
        <v>1435</v>
      </c>
      <c r="B436" s="5" t="s">
        <v>447</v>
      </c>
      <c r="C436" s="5" t="s">
        <v>514</v>
      </c>
      <c r="D436" s="5" t="s">
        <v>539</v>
      </c>
      <c r="E436" s="5" t="s">
        <v>570</v>
      </c>
      <c r="F436" s="5" t="s">
        <v>575</v>
      </c>
      <c r="G436" s="4">
        <v>11</v>
      </c>
      <c r="H436" s="4">
        <v>4</v>
      </c>
      <c r="I436" s="4">
        <v>5</v>
      </c>
      <c r="J436" s="6">
        <v>46017</v>
      </c>
      <c r="K436" t="s">
        <v>579</v>
      </c>
      <c r="L436" s="5" t="s">
        <v>582</v>
      </c>
      <c r="M436" s="5" t="s">
        <v>585</v>
      </c>
      <c r="N436" s="7" t="str">
        <f t="shared" si="30"/>
        <v>2025</v>
      </c>
      <c r="O436" s="7" t="str">
        <f t="shared" si="31"/>
        <v>Dec</v>
      </c>
      <c r="P436" s="7" t="str">
        <f t="shared" si="32"/>
        <v>Fri</v>
      </c>
      <c r="Q436" t="str">
        <f t="shared" si="33"/>
        <v>Discounted</v>
      </c>
      <c r="R436" t="str">
        <f t="shared" si="34"/>
        <v>No Action</v>
      </c>
    </row>
    <row r="437" spans="1:18" x14ac:dyDescent="0.25">
      <c r="A437" s="4">
        <v>1436</v>
      </c>
      <c r="B437" s="5" t="s">
        <v>448</v>
      </c>
      <c r="C437" s="5" t="s">
        <v>511</v>
      </c>
      <c r="D437" s="5" t="s">
        <v>558</v>
      </c>
      <c r="E437" s="5" t="s">
        <v>565</v>
      </c>
      <c r="F437" s="5" t="s">
        <v>575</v>
      </c>
      <c r="G437" s="4">
        <v>8</v>
      </c>
      <c r="H437" s="4">
        <v>5</v>
      </c>
      <c r="I437" s="4">
        <v>5</v>
      </c>
      <c r="J437" s="6">
        <v>45856</v>
      </c>
      <c r="K437" t="s">
        <v>579</v>
      </c>
      <c r="L437" s="5" t="s">
        <v>584</v>
      </c>
      <c r="M437" s="5" t="s">
        <v>585</v>
      </c>
      <c r="N437" s="7" t="str">
        <f t="shared" si="30"/>
        <v>2025</v>
      </c>
      <c r="O437" s="7" t="str">
        <f t="shared" si="31"/>
        <v>Jul</v>
      </c>
      <c r="P437" s="7" t="str">
        <f t="shared" si="32"/>
        <v>Fri</v>
      </c>
      <c r="Q437" t="str">
        <f t="shared" si="33"/>
        <v>Discounted</v>
      </c>
      <c r="R437" t="str">
        <f t="shared" si="34"/>
        <v>No Action</v>
      </c>
    </row>
    <row r="438" spans="1:18" x14ac:dyDescent="0.25">
      <c r="A438" s="4">
        <v>1437</v>
      </c>
      <c r="B438" s="5" t="s">
        <v>449</v>
      </c>
      <c r="C438" s="5" t="s">
        <v>512</v>
      </c>
      <c r="D438" s="5" t="s">
        <v>550</v>
      </c>
      <c r="E438" s="5" t="s">
        <v>568</v>
      </c>
      <c r="F438" s="5" t="s">
        <v>577</v>
      </c>
      <c r="G438" s="4">
        <v>13</v>
      </c>
      <c r="H438" s="4">
        <v>349</v>
      </c>
      <c r="I438" s="4">
        <v>0</v>
      </c>
      <c r="J438" s="6">
        <v>45772</v>
      </c>
      <c r="K438" t="s">
        <v>579</v>
      </c>
      <c r="L438" s="5" t="s">
        <v>582</v>
      </c>
      <c r="M438" s="5" t="s">
        <v>585</v>
      </c>
      <c r="N438" s="7" t="str">
        <f t="shared" si="30"/>
        <v>2025</v>
      </c>
      <c r="O438" s="7" t="str">
        <f t="shared" si="31"/>
        <v>Apr</v>
      </c>
      <c r="P438" s="7" t="str">
        <f t="shared" si="32"/>
        <v>Fri</v>
      </c>
      <c r="Q438" t="str">
        <f t="shared" si="33"/>
        <v>Full Price</v>
      </c>
      <c r="R438" t="str">
        <f t="shared" si="34"/>
        <v>No Action</v>
      </c>
    </row>
    <row r="439" spans="1:18" x14ac:dyDescent="0.25">
      <c r="A439" s="4">
        <v>1438</v>
      </c>
      <c r="B439" s="5" t="s">
        <v>450</v>
      </c>
      <c r="C439" s="5" t="s">
        <v>511</v>
      </c>
      <c r="D439" s="5" t="s">
        <v>537</v>
      </c>
      <c r="E439" s="5" t="s">
        <v>567</v>
      </c>
      <c r="F439" s="5" t="s">
        <v>576</v>
      </c>
      <c r="G439" s="4">
        <v>3</v>
      </c>
      <c r="H439" s="4">
        <v>1434</v>
      </c>
      <c r="I439" s="4">
        <v>5</v>
      </c>
      <c r="J439" s="6">
        <v>45925</v>
      </c>
      <c r="K439" t="s">
        <v>578</v>
      </c>
      <c r="L439" s="5" t="s">
        <v>583</v>
      </c>
      <c r="M439" s="5" t="s">
        <v>586</v>
      </c>
      <c r="N439" s="7" t="str">
        <f t="shared" si="30"/>
        <v>2025</v>
      </c>
      <c r="O439" s="7" t="str">
        <f t="shared" si="31"/>
        <v>Sep</v>
      </c>
      <c r="P439" s="7" t="str">
        <f t="shared" si="32"/>
        <v>Thu</v>
      </c>
      <c r="Q439" t="str">
        <f t="shared" si="33"/>
        <v>Discounted</v>
      </c>
      <c r="R439" t="str">
        <f t="shared" si="34"/>
        <v>Check Return Policy</v>
      </c>
    </row>
    <row r="440" spans="1:18" x14ac:dyDescent="0.25">
      <c r="A440" s="4">
        <v>1439</v>
      </c>
      <c r="B440" s="5" t="s">
        <v>451</v>
      </c>
      <c r="C440" s="5" t="s">
        <v>511</v>
      </c>
      <c r="D440" s="5" t="s">
        <v>525</v>
      </c>
      <c r="E440" s="5" t="s">
        <v>573</v>
      </c>
      <c r="F440" s="5" t="s">
        <v>576</v>
      </c>
      <c r="G440" s="4">
        <v>19</v>
      </c>
      <c r="H440" s="4">
        <v>221</v>
      </c>
      <c r="I440" s="4">
        <v>0</v>
      </c>
      <c r="J440" s="6">
        <v>45664</v>
      </c>
      <c r="K440" t="s">
        <v>581</v>
      </c>
      <c r="L440" s="5" t="s">
        <v>583</v>
      </c>
      <c r="M440" s="5" t="s">
        <v>586</v>
      </c>
      <c r="N440" s="7" t="str">
        <f t="shared" si="30"/>
        <v>2025</v>
      </c>
      <c r="O440" s="7" t="str">
        <f t="shared" si="31"/>
        <v>Jan</v>
      </c>
      <c r="P440" s="7" t="str">
        <f t="shared" si="32"/>
        <v>Tue</v>
      </c>
      <c r="Q440" t="str">
        <f t="shared" si="33"/>
        <v>Full Price</v>
      </c>
      <c r="R440" t="str">
        <f t="shared" si="34"/>
        <v>Check Return Policy</v>
      </c>
    </row>
    <row r="441" spans="1:18" x14ac:dyDescent="0.25">
      <c r="A441" s="4">
        <v>1440</v>
      </c>
      <c r="B441" s="5" t="s">
        <v>452</v>
      </c>
      <c r="C441" s="5" t="s">
        <v>512</v>
      </c>
      <c r="D441" s="5" t="s">
        <v>518</v>
      </c>
      <c r="E441" s="5" t="s">
        <v>570</v>
      </c>
      <c r="F441" s="5" t="s">
        <v>575</v>
      </c>
      <c r="G441" s="4">
        <v>6</v>
      </c>
      <c r="H441" s="4">
        <v>5</v>
      </c>
      <c r="I441" s="4">
        <v>0</v>
      </c>
      <c r="J441" s="6">
        <v>45770</v>
      </c>
      <c r="K441" t="s">
        <v>581</v>
      </c>
      <c r="L441" s="5" t="s">
        <v>583</v>
      </c>
      <c r="M441" s="5" t="s">
        <v>586</v>
      </c>
      <c r="N441" s="7" t="str">
        <f t="shared" si="30"/>
        <v>2025</v>
      </c>
      <c r="O441" s="7" t="str">
        <f t="shared" si="31"/>
        <v>Apr</v>
      </c>
      <c r="P441" s="7" t="str">
        <f t="shared" si="32"/>
        <v>Wed</v>
      </c>
      <c r="Q441" t="str">
        <f t="shared" si="33"/>
        <v>Full Price</v>
      </c>
      <c r="R441" t="str">
        <f t="shared" si="34"/>
        <v>Check Return Policy</v>
      </c>
    </row>
    <row r="442" spans="1:18" x14ac:dyDescent="0.25">
      <c r="A442" s="4">
        <v>1441</v>
      </c>
      <c r="B442" s="5" t="s">
        <v>453</v>
      </c>
      <c r="C442" s="5" t="s">
        <v>514</v>
      </c>
      <c r="D442" s="5" t="s">
        <v>531</v>
      </c>
      <c r="E442" s="5" t="s">
        <v>569</v>
      </c>
      <c r="F442" s="5" t="s">
        <v>576</v>
      </c>
      <c r="G442" s="4">
        <v>7</v>
      </c>
      <c r="H442" s="4">
        <v>789</v>
      </c>
      <c r="I442" s="4">
        <v>15</v>
      </c>
      <c r="J442" s="6">
        <v>45868</v>
      </c>
      <c r="K442" t="s">
        <v>578</v>
      </c>
      <c r="L442" s="5" t="s">
        <v>584</v>
      </c>
      <c r="M442" s="5" t="s">
        <v>585</v>
      </c>
      <c r="N442" s="7" t="str">
        <f t="shared" si="30"/>
        <v>2025</v>
      </c>
      <c r="O442" s="7" t="str">
        <f t="shared" si="31"/>
        <v>Jul</v>
      </c>
      <c r="P442" s="7" t="str">
        <f t="shared" si="32"/>
        <v>Wed</v>
      </c>
      <c r="Q442" t="str">
        <f t="shared" si="33"/>
        <v>Discounted</v>
      </c>
      <c r="R442" t="str">
        <f t="shared" si="34"/>
        <v>No Action</v>
      </c>
    </row>
    <row r="443" spans="1:18" x14ac:dyDescent="0.25">
      <c r="A443" s="4">
        <v>1442</v>
      </c>
      <c r="B443" s="5" t="s">
        <v>454</v>
      </c>
      <c r="C443" s="5" t="s">
        <v>514</v>
      </c>
      <c r="D443" s="5" t="s">
        <v>552</v>
      </c>
      <c r="E443" s="5" t="s">
        <v>571</v>
      </c>
      <c r="F443" s="5" t="s">
        <v>577</v>
      </c>
      <c r="G443" s="4">
        <v>17</v>
      </c>
      <c r="H443" s="4">
        <v>274</v>
      </c>
      <c r="I443" s="4">
        <v>0</v>
      </c>
      <c r="J443" s="6">
        <v>45730</v>
      </c>
      <c r="K443" t="s">
        <v>581</v>
      </c>
      <c r="L443" s="5" t="s">
        <v>583</v>
      </c>
      <c r="M443" s="5" t="s">
        <v>586</v>
      </c>
      <c r="N443" s="7" t="str">
        <f t="shared" si="30"/>
        <v>2025</v>
      </c>
      <c r="O443" s="7" t="str">
        <f t="shared" si="31"/>
        <v>Mar</v>
      </c>
      <c r="P443" s="7" t="str">
        <f t="shared" si="32"/>
        <v>Fri</v>
      </c>
      <c r="Q443" t="str">
        <f t="shared" si="33"/>
        <v>Full Price</v>
      </c>
      <c r="R443" t="str">
        <f t="shared" si="34"/>
        <v>Check Return Policy</v>
      </c>
    </row>
    <row r="444" spans="1:18" x14ac:dyDescent="0.25">
      <c r="A444" s="4">
        <v>1443</v>
      </c>
      <c r="B444" s="5" t="s">
        <v>455</v>
      </c>
      <c r="C444" s="5" t="s">
        <v>514</v>
      </c>
      <c r="D444" s="5" t="s">
        <v>527</v>
      </c>
      <c r="E444" s="5" t="s">
        <v>571</v>
      </c>
      <c r="F444" s="5" t="s">
        <v>577</v>
      </c>
      <c r="G444" s="4">
        <v>2</v>
      </c>
      <c r="H444" s="4">
        <v>64</v>
      </c>
      <c r="I444" s="4">
        <v>5</v>
      </c>
      <c r="J444" s="6">
        <v>45668</v>
      </c>
      <c r="K444" t="s">
        <v>580</v>
      </c>
      <c r="L444" s="5" t="s">
        <v>582</v>
      </c>
      <c r="M444" s="5" t="s">
        <v>585</v>
      </c>
      <c r="N444" s="7" t="str">
        <f t="shared" si="30"/>
        <v>2025</v>
      </c>
      <c r="O444" s="7" t="str">
        <f t="shared" si="31"/>
        <v>Jan</v>
      </c>
      <c r="P444" s="7" t="str">
        <f t="shared" si="32"/>
        <v>Sat</v>
      </c>
      <c r="Q444" t="str">
        <f t="shared" si="33"/>
        <v>Discounted</v>
      </c>
      <c r="R444" t="str">
        <f t="shared" si="34"/>
        <v>No Action</v>
      </c>
    </row>
    <row r="445" spans="1:18" x14ac:dyDescent="0.25">
      <c r="A445" s="4">
        <v>1444</v>
      </c>
      <c r="B445" s="5" t="s">
        <v>456</v>
      </c>
      <c r="C445" s="5" t="s">
        <v>514</v>
      </c>
      <c r="D445" s="5" t="s">
        <v>521</v>
      </c>
      <c r="E445" s="5" t="s">
        <v>573</v>
      </c>
      <c r="F445" s="5" t="s">
        <v>576</v>
      </c>
      <c r="G445" s="4">
        <v>8</v>
      </c>
      <c r="H445" s="4">
        <v>327</v>
      </c>
      <c r="I445" s="4">
        <v>15</v>
      </c>
      <c r="J445" s="6">
        <v>45998</v>
      </c>
      <c r="K445" t="s">
        <v>581</v>
      </c>
      <c r="L445" s="5" t="s">
        <v>582</v>
      </c>
      <c r="M445" s="5" t="s">
        <v>586</v>
      </c>
      <c r="N445" s="7" t="str">
        <f t="shared" si="30"/>
        <v>2025</v>
      </c>
      <c r="O445" s="7" t="str">
        <f t="shared" si="31"/>
        <v>Dec</v>
      </c>
      <c r="P445" s="7" t="str">
        <f t="shared" si="32"/>
        <v>Sun</v>
      </c>
      <c r="Q445" t="str">
        <f t="shared" si="33"/>
        <v>Discounted</v>
      </c>
      <c r="R445" t="str">
        <f t="shared" si="34"/>
        <v>Check Return Policy</v>
      </c>
    </row>
    <row r="446" spans="1:18" x14ac:dyDescent="0.25">
      <c r="A446" s="4">
        <v>1445</v>
      </c>
      <c r="B446" s="5" t="s">
        <v>457</v>
      </c>
      <c r="C446" s="5" t="s">
        <v>513</v>
      </c>
      <c r="D446" s="5" t="s">
        <v>540</v>
      </c>
      <c r="E446" s="5" t="s">
        <v>573</v>
      </c>
      <c r="F446" s="5" t="s">
        <v>576</v>
      </c>
      <c r="G446" s="4">
        <v>14</v>
      </c>
      <c r="H446" s="4">
        <v>108</v>
      </c>
      <c r="I446" s="4">
        <v>10</v>
      </c>
      <c r="J446" s="6">
        <v>45754</v>
      </c>
      <c r="K446" t="s">
        <v>579</v>
      </c>
      <c r="L446" s="5" t="s">
        <v>584</v>
      </c>
      <c r="M446" s="5" t="s">
        <v>586</v>
      </c>
      <c r="N446" s="7" t="str">
        <f t="shared" si="30"/>
        <v>2025</v>
      </c>
      <c r="O446" s="7" t="str">
        <f t="shared" si="31"/>
        <v>Apr</v>
      </c>
      <c r="P446" s="7" t="str">
        <f t="shared" si="32"/>
        <v>Mon</v>
      </c>
      <c r="Q446" t="str">
        <f t="shared" si="33"/>
        <v>Discounted</v>
      </c>
      <c r="R446" t="str">
        <f t="shared" si="34"/>
        <v>Check Return Policy</v>
      </c>
    </row>
    <row r="447" spans="1:18" x14ac:dyDescent="0.25">
      <c r="A447" s="4">
        <v>1446</v>
      </c>
      <c r="B447" s="5" t="s">
        <v>458</v>
      </c>
      <c r="C447" s="5" t="s">
        <v>514</v>
      </c>
      <c r="D447" s="5" t="s">
        <v>537</v>
      </c>
      <c r="E447" s="5" t="s">
        <v>566</v>
      </c>
      <c r="F447" s="5" t="s">
        <v>576</v>
      </c>
      <c r="G447" s="4">
        <v>17</v>
      </c>
      <c r="H447" s="4">
        <v>138</v>
      </c>
      <c r="I447" s="4">
        <v>5</v>
      </c>
      <c r="J447" s="6">
        <v>45699</v>
      </c>
      <c r="K447" t="s">
        <v>580</v>
      </c>
      <c r="L447" s="5" t="s">
        <v>583</v>
      </c>
      <c r="M447" s="5" t="s">
        <v>585</v>
      </c>
      <c r="N447" s="7" t="str">
        <f t="shared" si="30"/>
        <v>2025</v>
      </c>
      <c r="O447" s="7" t="str">
        <f t="shared" si="31"/>
        <v>Feb</v>
      </c>
      <c r="P447" s="7" t="str">
        <f t="shared" si="32"/>
        <v>Tue</v>
      </c>
      <c r="Q447" t="str">
        <f t="shared" si="33"/>
        <v>Discounted</v>
      </c>
      <c r="R447" t="str">
        <f t="shared" si="34"/>
        <v>No Action</v>
      </c>
    </row>
    <row r="448" spans="1:18" x14ac:dyDescent="0.25">
      <c r="A448" s="4">
        <v>1447</v>
      </c>
      <c r="B448" s="5" t="s">
        <v>459</v>
      </c>
      <c r="C448" s="5" t="s">
        <v>513</v>
      </c>
      <c r="D448" s="5" t="s">
        <v>556</v>
      </c>
      <c r="E448" s="5" t="s">
        <v>571</v>
      </c>
      <c r="F448" s="5" t="s">
        <v>577</v>
      </c>
      <c r="G448" s="4">
        <v>1</v>
      </c>
      <c r="H448" s="4">
        <v>52</v>
      </c>
      <c r="I448" s="4">
        <v>15</v>
      </c>
      <c r="J448" s="6">
        <v>45730</v>
      </c>
      <c r="K448" t="s">
        <v>581</v>
      </c>
      <c r="L448" s="5" t="s">
        <v>582</v>
      </c>
      <c r="M448" s="5" t="s">
        <v>585</v>
      </c>
      <c r="N448" s="7" t="str">
        <f t="shared" si="30"/>
        <v>2025</v>
      </c>
      <c r="O448" s="7" t="str">
        <f t="shared" si="31"/>
        <v>Mar</v>
      </c>
      <c r="P448" s="7" t="str">
        <f t="shared" si="32"/>
        <v>Fri</v>
      </c>
      <c r="Q448" t="str">
        <f t="shared" si="33"/>
        <v>Discounted</v>
      </c>
      <c r="R448" t="str">
        <f t="shared" si="34"/>
        <v>No Action</v>
      </c>
    </row>
    <row r="449" spans="1:18" x14ac:dyDescent="0.25">
      <c r="A449" s="4">
        <v>1448</v>
      </c>
      <c r="B449" s="5" t="s">
        <v>460</v>
      </c>
      <c r="C449" s="5" t="s">
        <v>512</v>
      </c>
      <c r="D449" s="5" t="s">
        <v>515</v>
      </c>
      <c r="E449" s="5" t="s">
        <v>567</v>
      </c>
      <c r="F449" s="5" t="s">
        <v>576</v>
      </c>
      <c r="G449" s="4">
        <v>18</v>
      </c>
      <c r="H449" s="4">
        <v>870</v>
      </c>
      <c r="I449" s="4">
        <v>15</v>
      </c>
      <c r="J449" s="6">
        <v>45709</v>
      </c>
      <c r="K449" t="s">
        <v>579</v>
      </c>
      <c r="L449" s="5" t="s">
        <v>584</v>
      </c>
      <c r="M449" s="5" t="s">
        <v>586</v>
      </c>
      <c r="N449" s="7" t="str">
        <f t="shared" si="30"/>
        <v>2025</v>
      </c>
      <c r="O449" s="7" t="str">
        <f t="shared" si="31"/>
        <v>Feb</v>
      </c>
      <c r="P449" s="7" t="str">
        <f t="shared" si="32"/>
        <v>Fri</v>
      </c>
      <c r="Q449" t="str">
        <f t="shared" si="33"/>
        <v>Discounted</v>
      </c>
      <c r="R449" t="str">
        <f t="shared" si="34"/>
        <v>Check Return Policy</v>
      </c>
    </row>
    <row r="450" spans="1:18" x14ac:dyDescent="0.25">
      <c r="A450" s="4">
        <v>1449</v>
      </c>
      <c r="B450" s="5" t="s">
        <v>461</v>
      </c>
      <c r="C450" s="5" t="s">
        <v>512</v>
      </c>
      <c r="D450" s="5" t="s">
        <v>521</v>
      </c>
      <c r="E450" s="5" t="s">
        <v>571</v>
      </c>
      <c r="F450" s="5" t="s">
        <v>577</v>
      </c>
      <c r="G450" s="4">
        <v>11</v>
      </c>
      <c r="H450" s="4">
        <v>268</v>
      </c>
      <c r="I450" s="4">
        <v>15</v>
      </c>
      <c r="J450" s="6">
        <v>45663</v>
      </c>
      <c r="K450" t="s">
        <v>581</v>
      </c>
      <c r="L450" s="5" t="s">
        <v>584</v>
      </c>
      <c r="M450" s="5" t="s">
        <v>586</v>
      </c>
      <c r="N450" s="7" t="str">
        <f t="shared" si="30"/>
        <v>2025</v>
      </c>
      <c r="O450" s="7" t="str">
        <f t="shared" si="31"/>
        <v>Jan</v>
      </c>
      <c r="P450" s="7" t="str">
        <f t="shared" si="32"/>
        <v>Mon</v>
      </c>
      <c r="Q450" t="str">
        <f t="shared" si="33"/>
        <v>Discounted</v>
      </c>
      <c r="R450" t="str">
        <f t="shared" si="34"/>
        <v>Check Return Policy</v>
      </c>
    </row>
    <row r="451" spans="1:18" x14ac:dyDescent="0.25">
      <c r="A451" s="4">
        <v>1450</v>
      </c>
      <c r="B451" s="5" t="s">
        <v>462</v>
      </c>
      <c r="C451" s="5" t="s">
        <v>512</v>
      </c>
      <c r="D451" s="5" t="s">
        <v>552</v>
      </c>
      <c r="E451" s="5" t="s">
        <v>574</v>
      </c>
      <c r="F451" s="5" t="s">
        <v>576</v>
      </c>
      <c r="G451" s="4">
        <v>12</v>
      </c>
      <c r="H451" s="4">
        <v>106</v>
      </c>
      <c r="I451" s="4">
        <v>0</v>
      </c>
      <c r="J451" s="6">
        <v>45888</v>
      </c>
      <c r="K451" t="s">
        <v>581</v>
      </c>
      <c r="L451" s="5" t="s">
        <v>584</v>
      </c>
      <c r="M451" s="5" t="s">
        <v>586</v>
      </c>
      <c r="N451" s="7" t="str">
        <f t="shared" ref="N451:N501" si="35">TEXT(J451,"YYYY")</f>
        <v>2025</v>
      </c>
      <c r="O451" s="7" t="str">
        <f t="shared" ref="O451:O501" si="36">TEXT(J451,"mmm")</f>
        <v>Aug</v>
      </c>
      <c r="P451" s="7" t="str">
        <f t="shared" ref="P451:P501" si="37">TEXT(J451,"ddd")</f>
        <v>Tue</v>
      </c>
      <c r="Q451" t="str">
        <f t="shared" ref="Q451:Q501" si="38">IF(I451&gt;0,"Discounted","Full Price")</f>
        <v>Full Price</v>
      </c>
      <c r="R451" t="str">
        <f t="shared" ref="R451:R501" si="39">IF(M451="Yes","Check Return Policy","No Action")</f>
        <v>Check Return Policy</v>
      </c>
    </row>
    <row r="452" spans="1:18" x14ac:dyDescent="0.25">
      <c r="A452" s="4">
        <v>1451</v>
      </c>
      <c r="B452" s="5" t="s">
        <v>463</v>
      </c>
      <c r="C452" s="5" t="s">
        <v>514</v>
      </c>
      <c r="D452" s="5" t="s">
        <v>525</v>
      </c>
      <c r="E452" s="5" t="s">
        <v>567</v>
      </c>
      <c r="F452" s="5" t="s">
        <v>576</v>
      </c>
      <c r="G452" s="4">
        <v>13</v>
      </c>
      <c r="H452" s="4">
        <v>1404</v>
      </c>
      <c r="I452" s="4">
        <v>0</v>
      </c>
      <c r="J452" s="6">
        <v>45937</v>
      </c>
      <c r="K452" t="s">
        <v>580</v>
      </c>
      <c r="L452" s="5" t="s">
        <v>582</v>
      </c>
      <c r="M452" s="5" t="s">
        <v>586</v>
      </c>
      <c r="N452" s="7" t="str">
        <f t="shared" si="35"/>
        <v>2025</v>
      </c>
      <c r="O452" s="7" t="str">
        <f t="shared" si="36"/>
        <v>Oct</v>
      </c>
      <c r="P452" s="7" t="str">
        <f t="shared" si="37"/>
        <v>Tue</v>
      </c>
      <c r="Q452" t="str">
        <f t="shared" si="38"/>
        <v>Full Price</v>
      </c>
      <c r="R452" t="str">
        <f t="shared" si="39"/>
        <v>Check Return Policy</v>
      </c>
    </row>
    <row r="453" spans="1:18" x14ac:dyDescent="0.25">
      <c r="A453" s="4">
        <v>1452</v>
      </c>
      <c r="B453" s="5" t="s">
        <v>464</v>
      </c>
      <c r="C453" s="5" t="s">
        <v>513</v>
      </c>
      <c r="D453" s="5" t="s">
        <v>517</v>
      </c>
      <c r="E453" s="5" t="s">
        <v>569</v>
      </c>
      <c r="F453" s="5" t="s">
        <v>576</v>
      </c>
      <c r="G453" s="4">
        <v>3</v>
      </c>
      <c r="H453" s="4">
        <v>953</v>
      </c>
      <c r="I453" s="4">
        <v>15</v>
      </c>
      <c r="J453" s="6">
        <v>45708</v>
      </c>
      <c r="K453" t="s">
        <v>579</v>
      </c>
      <c r="L453" s="5" t="s">
        <v>583</v>
      </c>
      <c r="M453" s="5" t="s">
        <v>586</v>
      </c>
      <c r="N453" s="7" t="str">
        <f t="shared" si="35"/>
        <v>2025</v>
      </c>
      <c r="O453" s="7" t="str">
        <f t="shared" si="36"/>
        <v>Feb</v>
      </c>
      <c r="P453" s="7" t="str">
        <f t="shared" si="37"/>
        <v>Thu</v>
      </c>
      <c r="Q453" t="str">
        <f t="shared" si="38"/>
        <v>Discounted</v>
      </c>
      <c r="R453" t="str">
        <f t="shared" si="39"/>
        <v>Check Return Policy</v>
      </c>
    </row>
    <row r="454" spans="1:18" x14ac:dyDescent="0.25">
      <c r="A454" s="4">
        <v>1453</v>
      </c>
      <c r="B454" s="5" t="s">
        <v>465</v>
      </c>
      <c r="C454" s="5" t="s">
        <v>511</v>
      </c>
      <c r="D454" s="5" t="s">
        <v>552</v>
      </c>
      <c r="E454" s="5" t="s">
        <v>566</v>
      </c>
      <c r="F454" s="5" t="s">
        <v>576</v>
      </c>
      <c r="G454" s="4">
        <v>10</v>
      </c>
      <c r="H454" s="4">
        <v>306</v>
      </c>
      <c r="I454" s="4">
        <v>10</v>
      </c>
      <c r="J454" s="6">
        <v>45753</v>
      </c>
      <c r="K454" t="s">
        <v>578</v>
      </c>
      <c r="L454" s="5" t="s">
        <v>582</v>
      </c>
      <c r="M454" s="5" t="s">
        <v>586</v>
      </c>
      <c r="N454" s="7" t="str">
        <f t="shared" si="35"/>
        <v>2025</v>
      </c>
      <c r="O454" s="7" t="str">
        <f t="shared" si="36"/>
        <v>Apr</v>
      </c>
      <c r="P454" s="7" t="str">
        <f t="shared" si="37"/>
        <v>Sun</v>
      </c>
      <c r="Q454" t="str">
        <f t="shared" si="38"/>
        <v>Discounted</v>
      </c>
      <c r="R454" t="str">
        <f t="shared" si="39"/>
        <v>Check Return Policy</v>
      </c>
    </row>
    <row r="455" spans="1:18" x14ac:dyDescent="0.25">
      <c r="A455" s="4">
        <v>1454</v>
      </c>
      <c r="B455" s="5" t="s">
        <v>466</v>
      </c>
      <c r="C455" s="5" t="s">
        <v>512</v>
      </c>
      <c r="D455" s="5" t="s">
        <v>542</v>
      </c>
      <c r="E455" s="5" t="s">
        <v>569</v>
      </c>
      <c r="F455" s="5" t="s">
        <v>576</v>
      </c>
      <c r="G455" s="4">
        <v>13</v>
      </c>
      <c r="H455" s="4">
        <v>692</v>
      </c>
      <c r="I455" s="4">
        <v>15</v>
      </c>
      <c r="J455" s="6">
        <v>45662</v>
      </c>
      <c r="K455" t="s">
        <v>579</v>
      </c>
      <c r="L455" s="5" t="s">
        <v>583</v>
      </c>
      <c r="M455" s="5" t="s">
        <v>586</v>
      </c>
      <c r="N455" s="7" t="str">
        <f t="shared" si="35"/>
        <v>2025</v>
      </c>
      <c r="O455" s="7" t="str">
        <f t="shared" si="36"/>
        <v>Jan</v>
      </c>
      <c r="P455" s="7" t="str">
        <f t="shared" si="37"/>
        <v>Sun</v>
      </c>
      <c r="Q455" t="str">
        <f t="shared" si="38"/>
        <v>Discounted</v>
      </c>
      <c r="R455" t="str">
        <f t="shared" si="39"/>
        <v>Check Return Policy</v>
      </c>
    </row>
    <row r="456" spans="1:18" x14ac:dyDescent="0.25">
      <c r="A456" s="4">
        <v>1455</v>
      </c>
      <c r="B456" s="5" t="s">
        <v>467</v>
      </c>
      <c r="C456" s="5" t="s">
        <v>514</v>
      </c>
      <c r="D456" s="5" t="s">
        <v>519</v>
      </c>
      <c r="E456" s="5" t="s">
        <v>569</v>
      </c>
      <c r="F456" s="5" t="s">
        <v>576</v>
      </c>
      <c r="G456" s="4">
        <v>5</v>
      </c>
      <c r="H456" s="4">
        <v>687</v>
      </c>
      <c r="I456" s="4">
        <v>5</v>
      </c>
      <c r="J456" s="6">
        <v>45902</v>
      </c>
      <c r="K456" t="s">
        <v>579</v>
      </c>
      <c r="L456" s="5" t="s">
        <v>582</v>
      </c>
      <c r="M456" s="5" t="s">
        <v>585</v>
      </c>
      <c r="N456" s="7" t="str">
        <f t="shared" si="35"/>
        <v>2025</v>
      </c>
      <c r="O456" s="7" t="str">
        <f t="shared" si="36"/>
        <v>Sep</v>
      </c>
      <c r="P456" s="7" t="str">
        <f t="shared" si="37"/>
        <v>Tue</v>
      </c>
      <c r="Q456" t="str">
        <f t="shared" si="38"/>
        <v>Discounted</v>
      </c>
      <c r="R456" t="str">
        <f t="shared" si="39"/>
        <v>No Action</v>
      </c>
    </row>
    <row r="457" spans="1:18" x14ac:dyDescent="0.25">
      <c r="A457" s="4">
        <v>1456</v>
      </c>
      <c r="B457" s="5" t="s">
        <v>468</v>
      </c>
      <c r="C457" s="5" t="s">
        <v>511</v>
      </c>
      <c r="D457" s="5" t="s">
        <v>540</v>
      </c>
      <c r="E457" s="5" t="s">
        <v>567</v>
      </c>
      <c r="F457" s="5" t="s">
        <v>576</v>
      </c>
      <c r="G457" s="4">
        <v>5</v>
      </c>
      <c r="H457" s="4">
        <v>1336</v>
      </c>
      <c r="I457" s="4">
        <v>0</v>
      </c>
      <c r="J457" s="6">
        <v>45668</v>
      </c>
      <c r="K457" t="s">
        <v>581</v>
      </c>
      <c r="L457" s="5" t="s">
        <v>584</v>
      </c>
      <c r="M457" s="5" t="s">
        <v>585</v>
      </c>
      <c r="N457" s="7" t="str">
        <f t="shared" si="35"/>
        <v>2025</v>
      </c>
      <c r="O457" s="7" t="str">
        <f t="shared" si="36"/>
        <v>Jan</v>
      </c>
      <c r="P457" s="7" t="str">
        <f t="shared" si="37"/>
        <v>Sat</v>
      </c>
      <c r="Q457" t="str">
        <f t="shared" si="38"/>
        <v>Full Price</v>
      </c>
      <c r="R457" t="str">
        <f t="shared" si="39"/>
        <v>No Action</v>
      </c>
    </row>
    <row r="458" spans="1:18" x14ac:dyDescent="0.25">
      <c r="A458" s="4">
        <v>1457</v>
      </c>
      <c r="B458" s="5" t="s">
        <v>469</v>
      </c>
      <c r="C458" s="5" t="s">
        <v>513</v>
      </c>
      <c r="D458" s="5" t="s">
        <v>541</v>
      </c>
      <c r="E458" s="5" t="s">
        <v>574</v>
      </c>
      <c r="F458" s="5" t="s">
        <v>576</v>
      </c>
      <c r="G458" s="4">
        <v>19</v>
      </c>
      <c r="H458" s="4">
        <v>41</v>
      </c>
      <c r="I458" s="4">
        <v>10</v>
      </c>
      <c r="J458" s="6">
        <v>45909</v>
      </c>
      <c r="K458" t="s">
        <v>579</v>
      </c>
      <c r="L458" s="5" t="s">
        <v>583</v>
      </c>
      <c r="M458" s="5" t="s">
        <v>585</v>
      </c>
      <c r="N458" s="7" t="str">
        <f t="shared" si="35"/>
        <v>2025</v>
      </c>
      <c r="O458" s="7" t="str">
        <f t="shared" si="36"/>
        <v>Sep</v>
      </c>
      <c r="P458" s="7" t="str">
        <f t="shared" si="37"/>
        <v>Tue</v>
      </c>
      <c r="Q458" t="str">
        <f t="shared" si="38"/>
        <v>Discounted</v>
      </c>
      <c r="R458" t="str">
        <f t="shared" si="39"/>
        <v>No Action</v>
      </c>
    </row>
    <row r="459" spans="1:18" x14ac:dyDescent="0.25">
      <c r="A459" s="4">
        <v>1458</v>
      </c>
      <c r="B459" s="5" t="s">
        <v>470</v>
      </c>
      <c r="C459" s="5" t="s">
        <v>511</v>
      </c>
      <c r="D459" s="5" t="s">
        <v>518</v>
      </c>
      <c r="E459" s="5" t="s">
        <v>571</v>
      </c>
      <c r="F459" s="5" t="s">
        <v>577</v>
      </c>
      <c r="G459" s="4">
        <v>12</v>
      </c>
      <c r="H459" s="4">
        <v>193</v>
      </c>
      <c r="I459" s="4">
        <v>10</v>
      </c>
      <c r="J459" s="6">
        <v>45749</v>
      </c>
      <c r="K459" t="s">
        <v>578</v>
      </c>
      <c r="L459" s="5" t="s">
        <v>583</v>
      </c>
      <c r="M459" s="5" t="s">
        <v>586</v>
      </c>
      <c r="N459" s="7" t="str">
        <f t="shared" si="35"/>
        <v>2025</v>
      </c>
      <c r="O459" s="7" t="str">
        <f t="shared" si="36"/>
        <v>Apr</v>
      </c>
      <c r="P459" s="7" t="str">
        <f t="shared" si="37"/>
        <v>Wed</v>
      </c>
      <c r="Q459" t="str">
        <f t="shared" si="38"/>
        <v>Discounted</v>
      </c>
      <c r="R459" t="str">
        <f t="shared" si="39"/>
        <v>Check Return Policy</v>
      </c>
    </row>
    <row r="460" spans="1:18" x14ac:dyDescent="0.25">
      <c r="A460" s="4">
        <v>1459</v>
      </c>
      <c r="B460" s="5" t="s">
        <v>471</v>
      </c>
      <c r="C460" s="5" t="s">
        <v>512</v>
      </c>
      <c r="D460" s="5" t="s">
        <v>520</v>
      </c>
      <c r="E460" s="5" t="s">
        <v>571</v>
      </c>
      <c r="F460" s="5" t="s">
        <v>577</v>
      </c>
      <c r="G460" s="4">
        <v>18</v>
      </c>
      <c r="H460" s="4">
        <v>116</v>
      </c>
      <c r="I460" s="4">
        <v>15</v>
      </c>
      <c r="J460" s="6">
        <v>45717</v>
      </c>
      <c r="K460" t="s">
        <v>580</v>
      </c>
      <c r="L460" s="5" t="s">
        <v>584</v>
      </c>
      <c r="M460" s="5" t="s">
        <v>586</v>
      </c>
      <c r="N460" s="7" t="str">
        <f t="shared" si="35"/>
        <v>2025</v>
      </c>
      <c r="O460" s="7" t="str">
        <f t="shared" si="36"/>
        <v>Mar</v>
      </c>
      <c r="P460" s="7" t="str">
        <f t="shared" si="37"/>
        <v>Sat</v>
      </c>
      <c r="Q460" t="str">
        <f t="shared" si="38"/>
        <v>Discounted</v>
      </c>
      <c r="R460" t="str">
        <f t="shared" si="39"/>
        <v>Check Return Policy</v>
      </c>
    </row>
    <row r="461" spans="1:18" x14ac:dyDescent="0.25">
      <c r="A461" s="4">
        <v>1460</v>
      </c>
      <c r="B461" s="5" t="s">
        <v>472</v>
      </c>
      <c r="C461" s="5" t="s">
        <v>513</v>
      </c>
      <c r="D461" s="5" t="s">
        <v>541</v>
      </c>
      <c r="E461" s="5" t="s">
        <v>574</v>
      </c>
      <c r="F461" s="5" t="s">
        <v>576</v>
      </c>
      <c r="G461" s="4">
        <v>13</v>
      </c>
      <c r="H461" s="4">
        <v>57</v>
      </c>
      <c r="I461" s="4">
        <v>15</v>
      </c>
      <c r="J461" s="6">
        <v>45962</v>
      </c>
      <c r="K461" t="s">
        <v>578</v>
      </c>
      <c r="L461" s="5" t="s">
        <v>584</v>
      </c>
      <c r="M461" s="5" t="s">
        <v>585</v>
      </c>
      <c r="N461" s="7" t="str">
        <f t="shared" si="35"/>
        <v>2025</v>
      </c>
      <c r="O461" s="7" t="str">
        <f t="shared" si="36"/>
        <v>Nov</v>
      </c>
      <c r="P461" s="7" t="str">
        <f t="shared" si="37"/>
        <v>Sat</v>
      </c>
      <c r="Q461" t="str">
        <f t="shared" si="38"/>
        <v>Discounted</v>
      </c>
      <c r="R461" t="str">
        <f t="shared" si="39"/>
        <v>No Action</v>
      </c>
    </row>
    <row r="462" spans="1:18" x14ac:dyDescent="0.25">
      <c r="A462" s="4">
        <v>1461</v>
      </c>
      <c r="B462" s="5" t="s">
        <v>473</v>
      </c>
      <c r="C462" s="5" t="s">
        <v>511</v>
      </c>
      <c r="D462" s="5" t="s">
        <v>545</v>
      </c>
      <c r="E462" s="5" t="s">
        <v>568</v>
      </c>
      <c r="F462" s="5" t="s">
        <v>577</v>
      </c>
      <c r="G462" s="4">
        <v>14</v>
      </c>
      <c r="H462" s="4">
        <v>177</v>
      </c>
      <c r="I462" s="4">
        <v>0</v>
      </c>
      <c r="J462" s="6">
        <v>45695</v>
      </c>
      <c r="K462" t="s">
        <v>578</v>
      </c>
      <c r="L462" s="5" t="s">
        <v>584</v>
      </c>
      <c r="M462" s="5" t="s">
        <v>585</v>
      </c>
      <c r="N462" s="7" t="str">
        <f t="shared" si="35"/>
        <v>2025</v>
      </c>
      <c r="O462" s="7" t="str">
        <f t="shared" si="36"/>
        <v>Feb</v>
      </c>
      <c r="P462" s="7" t="str">
        <f t="shared" si="37"/>
        <v>Fri</v>
      </c>
      <c r="Q462" t="str">
        <f t="shared" si="38"/>
        <v>Full Price</v>
      </c>
      <c r="R462" t="str">
        <f t="shared" si="39"/>
        <v>No Action</v>
      </c>
    </row>
    <row r="463" spans="1:18" x14ac:dyDescent="0.25">
      <c r="A463" s="4">
        <v>1462</v>
      </c>
      <c r="B463" s="5" t="s">
        <v>474</v>
      </c>
      <c r="C463" s="5" t="s">
        <v>513</v>
      </c>
      <c r="D463" s="5" t="s">
        <v>552</v>
      </c>
      <c r="E463" s="5" t="s">
        <v>570</v>
      </c>
      <c r="F463" s="5" t="s">
        <v>575</v>
      </c>
      <c r="G463" s="4">
        <v>17</v>
      </c>
      <c r="H463" s="4">
        <v>9</v>
      </c>
      <c r="I463" s="4">
        <v>0</v>
      </c>
      <c r="J463" s="6">
        <v>45870</v>
      </c>
      <c r="K463" t="s">
        <v>578</v>
      </c>
      <c r="L463" s="5" t="s">
        <v>584</v>
      </c>
      <c r="M463" s="5" t="s">
        <v>585</v>
      </c>
      <c r="N463" s="7" t="str">
        <f t="shared" si="35"/>
        <v>2025</v>
      </c>
      <c r="O463" s="7" t="str">
        <f t="shared" si="36"/>
        <v>Aug</v>
      </c>
      <c r="P463" s="7" t="str">
        <f t="shared" si="37"/>
        <v>Fri</v>
      </c>
      <c r="Q463" t="str">
        <f t="shared" si="38"/>
        <v>Full Price</v>
      </c>
      <c r="R463" t="str">
        <f t="shared" si="39"/>
        <v>No Action</v>
      </c>
    </row>
    <row r="464" spans="1:18" x14ac:dyDescent="0.25">
      <c r="A464" s="4">
        <v>1463</v>
      </c>
      <c r="B464" s="5" t="s">
        <v>475</v>
      </c>
      <c r="C464" s="5" t="s">
        <v>511</v>
      </c>
      <c r="D464" s="5" t="s">
        <v>545</v>
      </c>
      <c r="E464" s="5" t="s">
        <v>571</v>
      </c>
      <c r="F464" s="5" t="s">
        <v>577</v>
      </c>
      <c r="G464" s="4">
        <v>17</v>
      </c>
      <c r="H464" s="4">
        <v>106</v>
      </c>
      <c r="I464" s="4">
        <v>0</v>
      </c>
      <c r="J464" s="6">
        <v>45753</v>
      </c>
      <c r="K464" t="s">
        <v>581</v>
      </c>
      <c r="L464" s="5" t="s">
        <v>582</v>
      </c>
      <c r="M464" s="5" t="s">
        <v>585</v>
      </c>
      <c r="N464" s="7" t="str">
        <f t="shared" si="35"/>
        <v>2025</v>
      </c>
      <c r="O464" s="7" t="str">
        <f t="shared" si="36"/>
        <v>Apr</v>
      </c>
      <c r="P464" s="7" t="str">
        <f t="shared" si="37"/>
        <v>Sun</v>
      </c>
      <c r="Q464" t="str">
        <f t="shared" si="38"/>
        <v>Full Price</v>
      </c>
      <c r="R464" t="str">
        <f t="shared" si="39"/>
        <v>No Action</v>
      </c>
    </row>
    <row r="465" spans="1:18" x14ac:dyDescent="0.25">
      <c r="A465" s="4">
        <v>1464</v>
      </c>
      <c r="B465" s="5" t="s">
        <v>476</v>
      </c>
      <c r="C465" s="5" t="s">
        <v>511</v>
      </c>
      <c r="D465" s="5" t="s">
        <v>544</v>
      </c>
      <c r="E465" s="5" t="s">
        <v>571</v>
      </c>
      <c r="F465" s="5" t="s">
        <v>577</v>
      </c>
      <c r="G465" s="4">
        <v>14</v>
      </c>
      <c r="H465" s="4">
        <v>223</v>
      </c>
      <c r="I465" s="4">
        <v>15</v>
      </c>
      <c r="J465" s="6">
        <v>45812</v>
      </c>
      <c r="K465" t="s">
        <v>579</v>
      </c>
      <c r="L465" s="5" t="s">
        <v>582</v>
      </c>
      <c r="M465" s="5" t="s">
        <v>585</v>
      </c>
      <c r="N465" s="7" t="str">
        <f t="shared" si="35"/>
        <v>2025</v>
      </c>
      <c r="O465" s="7" t="str">
        <f t="shared" si="36"/>
        <v>Jun</v>
      </c>
      <c r="P465" s="7" t="str">
        <f t="shared" si="37"/>
        <v>Wed</v>
      </c>
      <c r="Q465" t="str">
        <f t="shared" si="38"/>
        <v>Discounted</v>
      </c>
      <c r="R465" t="str">
        <f t="shared" si="39"/>
        <v>No Action</v>
      </c>
    </row>
    <row r="466" spans="1:18" x14ac:dyDescent="0.25">
      <c r="A466" s="4">
        <v>1465</v>
      </c>
      <c r="B466" s="5" t="s">
        <v>477</v>
      </c>
      <c r="C466" s="5" t="s">
        <v>513</v>
      </c>
      <c r="D466" s="5" t="s">
        <v>527</v>
      </c>
      <c r="E466" s="5" t="s">
        <v>566</v>
      </c>
      <c r="F466" s="5" t="s">
        <v>576</v>
      </c>
      <c r="G466" s="4">
        <v>8</v>
      </c>
      <c r="H466" s="4">
        <v>103</v>
      </c>
      <c r="I466" s="4">
        <v>0</v>
      </c>
      <c r="J466" s="6">
        <v>45903</v>
      </c>
      <c r="K466" t="s">
        <v>580</v>
      </c>
      <c r="L466" s="5" t="s">
        <v>583</v>
      </c>
      <c r="M466" s="5" t="s">
        <v>586</v>
      </c>
      <c r="N466" s="7" t="str">
        <f t="shared" si="35"/>
        <v>2025</v>
      </c>
      <c r="O466" s="7" t="str">
        <f t="shared" si="36"/>
        <v>Sep</v>
      </c>
      <c r="P466" s="7" t="str">
        <f t="shared" si="37"/>
        <v>Wed</v>
      </c>
      <c r="Q466" t="str">
        <f t="shared" si="38"/>
        <v>Full Price</v>
      </c>
      <c r="R466" t="str">
        <f t="shared" si="39"/>
        <v>Check Return Policy</v>
      </c>
    </row>
    <row r="467" spans="1:18" x14ac:dyDescent="0.25">
      <c r="A467" s="4">
        <v>1466</v>
      </c>
      <c r="B467" s="5" t="s">
        <v>478</v>
      </c>
      <c r="C467" s="5" t="s">
        <v>514</v>
      </c>
      <c r="D467" s="5" t="s">
        <v>523</v>
      </c>
      <c r="E467" s="5" t="s">
        <v>573</v>
      </c>
      <c r="F467" s="5" t="s">
        <v>576</v>
      </c>
      <c r="G467" s="4">
        <v>13</v>
      </c>
      <c r="H467" s="4">
        <v>300</v>
      </c>
      <c r="I467" s="4">
        <v>5</v>
      </c>
      <c r="J467" s="6">
        <v>45741</v>
      </c>
      <c r="K467" t="s">
        <v>580</v>
      </c>
      <c r="L467" s="5" t="s">
        <v>583</v>
      </c>
      <c r="M467" s="5" t="s">
        <v>586</v>
      </c>
      <c r="N467" s="7" t="str">
        <f t="shared" si="35"/>
        <v>2025</v>
      </c>
      <c r="O467" s="7" t="str">
        <f t="shared" si="36"/>
        <v>Mar</v>
      </c>
      <c r="P467" s="7" t="str">
        <f t="shared" si="37"/>
        <v>Tue</v>
      </c>
      <c r="Q467" t="str">
        <f t="shared" si="38"/>
        <v>Discounted</v>
      </c>
      <c r="R467" t="str">
        <f t="shared" si="39"/>
        <v>Check Return Policy</v>
      </c>
    </row>
    <row r="468" spans="1:18" x14ac:dyDescent="0.25">
      <c r="A468" s="4">
        <v>1467</v>
      </c>
      <c r="B468" s="5" t="s">
        <v>479</v>
      </c>
      <c r="C468" s="5" t="s">
        <v>513</v>
      </c>
      <c r="D468" s="5" t="s">
        <v>543</v>
      </c>
      <c r="E468" s="5" t="s">
        <v>571</v>
      </c>
      <c r="F468" s="5" t="s">
        <v>577</v>
      </c>
      <c r="G468" s="4">
        <v>13</v>
      </c>
      <c r="H468" s="4">
        <v>103</v>
      </c>
      <c r="I468" s="4">
        <v>5</v>
      </c>
      <c r="J468" s="6">
        <v>45654</v>
      </c>
      <c r="K468" t="s">
        <v>581</v>
      </c>
      <c r="L468" s="5" t="s">
        <v>584</v>
      </c>
      <c r="M468" s="5" t="s">
        <v>586</v>
      </c>
      <c r="N468" s="7" t="str">
        <f t="shared" si="35"/>
        <v>2024</v>
      </c>
      <c r="O468" s="7" t="str">
        <f t="shared" si="36"/>
        <v>Dec</v>
      </c>
      <c r="P468" s="7" t="str">
        <f t="shared" si="37"/>
        <v>Sat</v>
      </c>
      <c r="Q468" t="str">
        <f t="shared" si="38"/>
        <v>Discounted</v>
      </c>
      <c r="R468" t="str">
        <f t="shared" si="39"/>
        <v>Check Return Policy</v>
      </c>
    </row>
    <row r="469" spans="1:18" x14ac:dyDescent="0.25">
      <c r="A469" s="4">
        <v>1468</v>
      </c>
      <c r="B469" s="5" t="s">
        <v>480</v>
      </c>
      <c r="C469" s="5" t="s">
        <v>511</v>
      </c>
      <c r="D469" s="5" t="s">
        <v>529</v>
      </c>
      <c r="E469" s="5" t="s">
        <v>573</v>
      </c>
      <c r="F469" s="5" t="s">
        <v>576</v>
      </c>
      <c r="G469" s="4">
        <v>7</v>
      </c>
      <c r="H469" s="4">
        <v>302</v>
      </c>
      <c r="I469" s="4">
        <v>10</v>
      </c>
      <c r="J469" s="6">
        <v>45690</v>
      </c>
      <c r="K469" t="s">
        <v>579</v>
      </c>
      <c r="L469" s="5" t="s">
        <v>584</v>
      </c>
      <c r="M469" s="5" t="s">
        <v>585</v>
      </c>
      <c r="N469" s="7" t="str">
        <f t="shared" si="35"/>
        <v>2025</v>
      </c>
      <c r="O469" s="7" t="str">
        <f t="shared" si="36"/>
        <v>Feb</v>
      </c>
      <c r="P469" s="7" t="str">
        <f t="shared" si="37"/>
        <v>Sun</v>
      </c>
      <c r="Q469" t="str">
        <f t="shared" si="38"/>
        <v>Discounted</v>
      </c>
      <c r="R469" t="str">
        <f t="shared" si="39"/>
        <v>No Action</v>
      </c>
    </row>
    <row r="470" spans="1:18" x14ac:dyDescent="0.25">
      <c r="A470" s="4">
        <v>1469</v>
      </c>
      <c r="B470" s="5" t="s">
        <v>481</v>
      </c>
      <c r="C470" s="5" t="s">
        <v>512</v>
      </c>
      <c r="D470" s="5" t="s">
        <v>541</v>
      </c>
      <c r="E470" s="5" t="s">
        <v>566</v>
      </c>
      <c r="F470" s="5" t="s">
        <v>576</v>
      </c>
      <c r="G470" s="4">
        <v>8</v>
      </c>
      <c r="H470" s="4">
        <v>429</v>
      </c>
      <c r="I470" s="4">
        <v>15</v>
      </c>
      <c r="J470" s="6">
        <v>45701</v>
      </c>
      <c r="K470" t="s">
        <v>581</v>
      </c>
      <c r="L470" s="5" t="s">
        <v>583</v>
      </c>
      <c r="M470" s="5" t="s">
        <v>585</v>
      </c>
      <c r="N470" s="7" t="str">
        <f t="shared" si="35"/>
        <v>2025</v>
      </c>
      <c r="O470" s="7" t="str">
        <f t="shared" si="36"/>
        <v>Feb</v>
      </c>
      <c r="P470" s="7" t="str">
        <f t="shared" si="37"/>
        <v>Thu</v>
      </c>
      <c r="Q470" t="str">
        <f t="shared" si="38"/>
        <v>Discounted</v>
      </c>
      <c r="R470" t="str">
        <f t="shared" si="39"/>
        <v>No Action</v>
      </c>
    </row>
    <row r="471" spans="1:18" x14ac:dyDescent="0.25">
      <c r="A471" s="4">
        <v>1470</v>
      </c>
      <c r="B471" s="5" t="s">
        <v>482</v>
      </c>
      <c r="C471" s="5" t="s">
        <v>511</v>
      </c>
      <c r="D471" s="5" t="s">
        <v>533</v>
      </c>
      <c r="E471" s="5" t="s">
        <v>565</v>
      </c>
      <c r="F471" s="5" t="s">
        <v>575</v>
      </c>
      <c r="G471" s="4">
        <v>14</v>
      </c>
      <c r="H471" s="4">
        <v>1</v>
      </c>
      <c r="I471" s="4">
        <v>0</v>
      </c>
      <c r="J471" s="6">
        <v>45721</v>
      </c>
      <c r="K471" t="s">
        <v>581</v>
      </c>
      <c r="L471" s="5" t="s">
        <v>584</v>
      </c>
      <c r="M471" s="5" t="s">
        <v>585</v>
      </c>
      <c r="N471" s="7" t="str">
        <f t="shared" si="35"/>
        <v>2025</v>
      </c>
      <c r="O471" s="7" t="str">
        <f t="shared" si="36"/>
        <v>Mar</v>
      </c>
      <c r="P471" s="7" t="str">
        <f t="shared" si="37"/>
        <v>Wed</v>
      </c>
      <c r="Q471" t="str">
        <f t="shared" si="38"/>
        <v>Full Price</v>
      </c>
      <c r="R471" t="str">
        <f t="shared" si="39"/>
        <v>No Action</v>
      </c>
    </row>
    <row r="472" spans="1:18" x14ac:dyDescent="0.25">
      <c r="A472" s="4">
        <v>1471</v>
      </c>
      <c r="B472" s="5" t="s">
        <v>483</v>
      </c>
      <c r="C472" s="5" t="s">
        <v>513</v>
      </c>
      <c r="D472" s="5" t="s">
        <v>530</v>
      </c>
      <c r="E472" s="5" t="s">
        <v>569</v>
      </c>
      <c r="F472" s="5" t="s">
        <v>576</v>
      </c>
      <c r="G472" s="4">
        <v>4</v>
      </c>
      <c r="H472" s="4">
        <v>410</v>
      </c>
      <c r="I472" s="4">
        <v>10</v>
      </c>
      <c r="J472" s="6">
        <v>45676</v>
      </c>
      <c r="K472" t="s">
        <v>578</v>
      </c>
      <c r="L472" s="5" t="s">
        <v>584</v>
      </c>
      <c r="M472" s="5" t="s">
        <v>586</v>
      </c>
      <c r="N472" s="7" t="str">
        <f t="shared" si="35"/>
        <v>2025</v>
      </c>
      <c r="O472" s="7" t="str">
        <f t="shared" si="36"/>
        <v>Jan</v>
      </c>
      <c r="P472" s="7" t="str">
        <f t="shared" si="37"/>
        <v>Sun</v>
      </c>
      <c r="Q472" t="str">
        <f t="shared" si="38"/>
        <v>Discounted</v>
      </c>
      <c r="R472" t="str">
        <f t="shared" si="39"/>
        <v>Check Return Policy</v>
      </c>
    </row>
    <row r="473" spans="1:18" x14ac:dyDescent="0.25">
      <c r="A473" s="4">
        <v>1472</v>
      </c>
      <c r="B473" s="5" t="s">
        <v>484</v>
      </c>
      <c r="C473" s="5" t="s">
        <v>511</v>
      </c>
      <c r="D473" s="5" t="s">
        <v>530</v>
      </c>
      <c r="E473" s="5" t="s">
        <v>570</v>
      </c>
      <c r="F473" s="5" t="s">
        <v>575</v>
      </c>
      <c r="G473" s="4">
        <v>15</v>
      </c>
      <c r="H473" s="4">
        <v>11</v>
      </c>
      <c r="I473" s="4">
        <v>5</v>
      </c>
      <c r="J473" s="6">
        <v>45812</v>
      </c>
      <c r="K473" t="s">
        <v>581</v>
      </c>
      <c r="L473" s="5" t="s">
        <v>583</v>
      </c>
      <c r="M473" s="5" t="s">
        <v>586</v>
      </c>
      <c r="N473" s="7" t="str">
        <f t="shared" si="35"/>
        <v>2025</v>
      </c>
      <c r="O473" s="7" t="str">
        <f t="shared" si="36"/>
        <v>Jun</v>
      </c>
      <c r="P473" s="7" t="str">
        <f t="shared" si="37"/>
        <v>Wed</v>
      </c>
      <c r="Q473" t="str">
        <f t="shared" si="38"/>
        <v>Discounted</v>
      </c>
      <c r="R473" t="str">
        <f t="shared" si="39"/>
        <v>Check Return Policy</v>
      </c>
    </row>
    <row r="474" spans="1:18" x14ac:dyDescent="0.25">
      <c r="A474" s="4">
        <v>1473</v>
      </c>
      <c r="B474" s="5" t="s">
        <v>485</v>
      </c>
      <c r="C474" s="5" t="s">
        <v>513</v>
      </c>
      <c r="D474" s="5" t="s">
        <v>551</v>
      </c>
      <c r="E474" s="5" t="s">
        <v>571</v>
      </c>
      <c r="F474" s="5" t="s">
        <v>577</v>
      </c>
      <c r="G474" s="4">
        <v>4</v>
      </c>
      <c r="H474" s="4">
        <v>101</v>
      </c>
      <c r="I474" s="4">
        <v>15</v>
      </c>
      <c r="J474" s="6">
        <v>45992</v>
      </c>
      <c r="K474" t="s">
        <v>578</v>
      </c>
      <c r="L474" s="5" t="s">
        <v>583</v>
      </c>
      <c r="M474" s="5" t="s">
        <v>585</v>
      </c>
      <c r="N474" s="7" t="str">
        <f t="shared" si="35"/>
        <v>2025</v>
      </c>
      <c r="O474" s="7" t="str">
        <f t="shared" si="36"/>
        <v>Dec</v>
      </c>
      <c r="P474" s="7" t="str">
        <f t="shared" si="37"/>
        <v>Mon</v>
      </c>
      <c r="Q474" t="str">
        <f t="shared" si="38"/>
        <v>Discounted</v>
      </c>
      <c r="R474" t="str">
        <f t="shared" si="39"/>
        <v>No Action</v>
      </c>
    </row>
    <row r="475" spans="1:18" x14ac:dyDescent="0.25">
      <c r="A475" s="4">
        <v>1474</v>
      </c>
      <c r="B475" s="5" t="s">
        <v>62</v>
      </c>
      <c r="C475" s="5" t="s">
        <v>513</v>
      </c>
      <c r="D475" s="5" t="s">
        <v>558</v>
      </c>
      <c r="E475" s="5" t="s">
        <v>566</v>
      </c>
      <c r="F475" s="5" t="s">
        <v>576</v>
      </c>
      <c r="G475" s="4">
        <v>1</v>
      </c>
      <c r="H475" s="4">
        <v>370</v>
      </c>
      <c r="I475" s="4">
        <v>15</v>
      </c>
      <c r="J475" s="6">
        <v>45851</v>
      </c>
      <c r="K475" t="s">
        <v>579</v>
      </c>
      <c r="L475" s="5" t="s">
        <v>584</v>
      </c>
      <c r="M475" s="5" t="s">
        <v>586</v>
      </c>
      <c r="N475" s="7" t="str">
        <f t="shared" si="35"/>
        <v>2025</v>
      </c>
      <c r="O475" s="7" t="str">
        <f t="shared" si="36"/>
        <v>Jul</v>
      </c>
      <c r="P475" s="7" t="str">
        <f t="shared" si="37"/>
        <v>Sun</v>
      </c>
      <c r="Q475" t="str">
        <f t="shared" si="38"/>
        <v>Discounted</v>
      </c>
      <c r="R475" t="str">
        <f t="shared" si="39"/>
        <v>Check Return Policy</v>
      </c>
    </row>
    <row r="476" spans="1:18" x14ac:dyDescent="0.25">
      <c r="A476" s="4">
        <v>1475</v>
      </c>
      <c r="B476" s="5" t="s">
        <v>486</v>
      </c>
      <c r="C476" s="5" t="s">
        <v>514</v>
      </c>
      <c r="D476" s="5" t="s">
        <v>541</v>
      </c>
      <c r="E476" s="5" t="s">
        <v>568</v>
      </c>
      <c r="F476" s="5" t="s">
        <v>577</v>
      </c>
      <c r="G476" s="4">
        <v>15</v>
      </c>
      <c r="H476" s="4">
        <v>275</v>
      </c>
      <c r="I476" s="4">
        <v>0</v>
      </c>
      <c r="J476" s="6">
        <v>45973</v>
      </c>
      <c r="K476" t="s">
        <v>579</v>
      </c>
      <c r="L476" s="5" t="s">
        <v>582</v>
      </c>
      <c r="M476" s="5" t="s">
        <v>586</v>
      </c>
      <c r="N476" s="7" t="str">
        <f t="shared" si="35"/>
        <v>2025</v>
      </c>
      <c r="O476" s="7" t="str">
        <f t="shared" si="36"/>
        <v>Nov</v>
      </c>
      <c r="P476" s="7" t="str">
        <f t="shared" si="37"/>
        <v>Wed</v>
      </c>
      <c r="Q476" t="str">
        <f t="shared" si="38"/>
        <v>Full Price</v>
      </c>
      <c r="R476" t="str">
        <f t="shared" si="39"/>
        <v>Check Return Policy</v>
      </c>
    </row>
    <row r="477" spans="1:18" x14ac:dyDescent="0.25">
      <c r="A477" s="4">
        <v>1476</v>
      </c>
      <c r="B477" s="5" t="s">
        <v>487</v>
      </c>
      <c r="C477" s="5" t="s">
        <v>513</v>
      </c>
      <c r="D477" s="5" t="s">
        <v>526</v>
      </c>
      <c r="E477" s="5" t="s">
        <v>569</v>
      </c>
      <c r="F477" s="5" t="s">
        <v>576</v>
      </c>
      <c r="G477" s="4">
        <v>12</v>
      </c>
      <c r="H477" s="4">
        <v>960</v>
      </c>
      <c r="I477" s="4">
        <v>0</v>
      </c>
      <c r="J477" s="6">
        <v>45964</v>
      </c>
      <c r="K477" t="s">
        <v>581</v>
      </c>
      <c r="L477" s="5" t="s">
        <v>582</v>
      </c>
      <c r="M477" s="5" t="s">
        <v>586</v>
      </c>
      <c r="N477" s="7" t="str">
        <f t="shared" si="35"/>
        <v>2025</v>
      </c>
      <c r="O477" s="7" t="str">
        <f t="shared" si="36"/>
        <v>Nov</v>
      </c>
      <c r="P477" s="7" t="str">
        <f t="shared" si="37"/>
        <v>Mon</v>
      </c>
      <c r="Q477" t="str">
        <f t="shared" si="38"/>
        <v>Full Price</v>
      </c>
      <c r="R477" t="str">
        <f t="shared" si="39"/>
        <v>Check Return Policy</v>
      </c>
    </row>
    <row r="478" spans="1:18" x14ac:dyDescent="0.25">
      <c r="A478" s="4">
        <v>1477</v>
      </c>
      <c r="B478" s="5" t="s">
        <v>488</v>
      </c>
      <c r="C478" s="5" t="s">
        <v>513</v>
      </c>
      <c r="D478" s="5" t="s">
        <v>532</v>
      </c>
      <c r="E478" s="5" t="s">
        <v>567</v>
      </c>
      <c r="F478" s="5" t="s">
        <v>576</v>
      </c>
      <c r="G478" s="4">
        <v>16</v>
      </c>
      <c r="H478" s="4">
        <v>1064</v>
      </c>
      <c r="I478" s="4">
        <v>5</v>
      </c>
      <c r="J478" s="6">
        <v>45888</v>
      </c>
      <c r="K478" t="s">
        <v>581</v>
      </c>
      <c r="L478" s="5" t="s">
        <v>584</v>
      </c>
      <c r="M478" s="5" t="s">
        <v>585</v>
      </c>
      <c r="N478" s="7" t="str">
        <f t="shared" si="35"/>
        <v>2025</v>
      </c>
      <c r="O478" s="7" t="str">
        <f t="shared" si="36"/>
        <v>Aug</v>
      </c>
      <c r="P478" s="7" t="str">
        <f t="shared" si="37"/>
        <v>Tue</v>
      </c>
      <c r="Q478" t="str">
        <f t="shared" si="38"/>
        <v>Discounted</v>
      </c>
      <c r="R478" t="str">
        <f t="shared" si="39"/>
        <v>No Action</v>
      </c>
    </row>
    <row r="479" spans="1:18" x14ac:dyDescent="0.25">
      <c r="A479" s="4">
        <v>1478</v>
      </c>
      <c r="B479" s="5" t="s">
        <v>489</v>
      </c>
      <c r="C479" s="5" t="s">
        <v>511</v>
      </c>
      <c r="D479" s="5" t="s">
        <v>539</v>
      </c>
      <c r="E479" s="5" t="s">
        <v>572</v>
      </c>
      <c r="F479" s="5" t="s">
        <v>577</v>
      </c>
      <c r="G479" s="4">
        <v>2</v>
      </c>
      <c r="H479" s="4">
        <v>77</v>
      </c>
      <c r="I479" s="4">
        <v>15</v>
      </c>
      <c r="J479" s="6">
        <v>45988</v>
      </c>
      <c r="K479" t="s">
        <v>581</v>
      </c>
      <c r="L479" s="5" t="s">
        <v>582</v>
      </c>
      <c r="M479" s="5" t="s">
        <v>585</v>
      </c>
      <c r="N479" s="7" t="str">
        <f t="shared" si="35"/>
        <v>2025</v>
      </c>
      <c r="O479" s="7" t="str">
        <f t="shared" si="36"/>
        <v>Nov</v>
      </c>
      <c r="P479" s="7" t="str">
        <f t="shared" si="37"/>
        <v>Thu</v>
      </c>
      <c r="Q479" t="str">
        <f t="shared" si="38"/>
        <v>Discounted</v>
      </c>
      <c r="R479" t="str">
        <f t="shared" si="39"/>
        <v>No Action</v>
      </c>
    </row>
    <row r="480" spans="1:18" x14ac:dyDescent="0.25">
      <c r="A480" s="4">
        <v>1479</v>
      </c>
      <c r="B480" s="5" t="s">
        <v>490</v>
      </c>
      <c r="C480" s="5" t="s">
        <v>513</v>
      </c>
      <c r="D480" s="5" t="s">
        <v>555</v>
      </c>
      <c r="E480" s="5" t="s">
        <v>567</v>
      </c>
      <c r="F480" s="5" t="s">
        <v>576</v>
      </c>
      <c r="G480" s="4">
        <v>12</v>
      </c>
      <c r="H480" s="4">
        <v>1251</v>
      </c>
      <c r="I480" s="4">
        <v>5</v>
      </c>
      <c r="J480" s="6">
        <v>46008</v>
      </c>
      <c r="K480" t="s">
        <v>580</v>
      </c>
      <c r="L480" s="5" t="s">
        <v>583</v>
      </c>
      <c r="M480" s="5" t="s">
        <v>586</v>
      </c>
      <c r="N480" s="7" t="str">
        <f t="shared" si="35"/>
        <v>2025</v>
      </c>
      <c r="O480" s="7" t="str">
        <f t="shared" si="36"/>
        <v>Dec</v>
      </c>
      <c r="P480" s="7" t="str">
        <f t="shared" si="37"/>
        <v>Wed</v>
      </c>
      <c r="Q480" t="str">
        <f t="shared" si="38"/>
        <v>Discounted</v>
      </c>
      <c r="R480" t="str">
        <f t="shared" si="39"/>
        <v>Check Return Policy</v>
      </c>
    </row>
    <row r="481" spans="1:18" x14ac:dyDescent="0.25">
      <c r="A481" s="4">
        <v>1480</v>
      </c>
      <c r="B481" s="5" t="s">
        <v>491</v>
      </c>
      <c r="C481" s="5" t="s">
        <v>513</v>
      </c>
      <c r="D481" s="5" t="s">
        <v>538</v>
      </c>
      <c r="E481" s="5" t="s">
        <v>572</v>
      </c>
      <c r="F481" s="5" t="s">
        <v>577</v>
      </c>
      <c r="G481" s="4">
        <v>5</v>
      </c>
      <c r="H481" s="4">
        <v>266</v>
      </c>
      <c r="I481" s="4">
        <v>10</v>
      </c>
      <c r="J481" s="6">
        <v>45826</v>
      </c>
      <c r="K481" t="s">
        <v>578</v>
      </c>
      <c r="L481" s="5" t="s">
        <v>584</v>
      </c>
      <c r="M481" s="5" t="s">
        <v>585</v>
      </c>
      <c r="N481" s="7" t="str">
        <f t="shared" si="35"/>
        <v>2025</v>
      </c>
      <c r="O481" s="7" t="str">
        <f t="shared" si="36"/>
        <v>Jun</v>
      </c>
      <c r="P481" s="7" t="str">
        <f t="shared" si="37"/>
        <v>Wed</v>
      </c>
      <c r="Q481" t="str">
        <f t="shared" si="38"/>
        <v>Discounted</v>
      </c>
      <c r="R481" t="str">
        <f t="shared" si="39"/>
        <v>No Action</v>
      </c>
    </row>
    <row r="482" spans="1:18" x14ac:dyDescent="0.25">
      <c r="A482" s="4">
        <v>1481</v>
      </c>
      <c r="B482" s="5" t="s">
        <v>492</v>
      </c>
      <c r="C482" s="5" t="s">
        <v>514</v>
      </c>
      <c r="D482" s="5" t="s">
        <v>545</v>
      </c>
      <c r="E482" s="5" t="s">
        <v>566</v>
      </c>
      <c r="F482" s="5" t="s">
        <v>576</v>
      </c>
      <c r="G482" s="4">
        <v>2</v>
      </c>
      <c r="H482" s="4">
        <v>146</v>
      </c>
      <c r="I482" s="4">
        <v>15</v>
      </c>
      <c r="J482" s="6">
        <v>45952</v>
      </c>
      <c r="K482" t="s">
        <v>580</v>
      </c>
      <c r="L482" s="5" t="s">
        <v>582</v>
      </c>
      <c r="M482" s="5" t="s">
        <v>585</v>
      </c>
      <c r="N482" s="7" t="str">
        <f t="shared" si="35"/>
        <v>2025</v>
      </c>
      <c r="O482" s="7" t="str">
        <f t="shared" si="36"/>
        <v>Oct</v>
      </c>
      <c r="P482" s="7" t="str">
        <f t="shared" si="37"/>
        <v>Wed</v>
      </c>
      <c r="Q482" t="str">
        <f t="shared" si="38"/>
        <v>Discounted</v>
      </c>
      <c r="R482" t="str">
        <f t="shared" si="39"/>
        <v>No Action</v>
      </c>
    </row>
    <row r="483" spans="1:18" x14ac:dyDescent="0.25">
      <c r="A483" s="4">
        <v>1482</v>
      </c>
      <c r="B483" s="5" t="s">
        <v>493</v>
      </c>
      <c r="C483" s="5" t="s">
        <v>513</v>
      </c>
      <c r="D483" s="5" t="s">
        <v>539</v>
      </c>
      <c r="E483" s="5" t="s">
        <v>573</v>
      </c>
      <c r="F483" s="5" t="s">
        <v>576</v>
      </c>
      <c r="G483" s="4">
        <v>8</v>
      </c>
      <c r="H483" s="4">
        <v>219</v>
      </c>
      <c r="I483" s="4">
        <v>15</v>
      </c>
      <c r="J483" s="6">
        <v>46009</v>
      </c>
      <c r="K483" t="s">
        <v>581</v>
      </c>
      <c r="L483" s="5" t="s">
        <v>583</v>
      </c>
      <c r="M483" s="5" t="s">
        <v>586</v>
      </c>
      <c r="N483" s="7" t="str">
        <f t="shared" si="35"/>
        <v>2025</v>
      </c>
      <c r="O483" s="7" t="str">
        <f t="shared" si="36"/>
        <v>Dec</v>
      </c>
      <c r="P483" s="7" t="str">
        <f t="shared" si="37"/>
        <v>Thu</v>
      </c>
      <c r="Q483" t="str">
        <f t="shared" si="38"/>
        <v>Discounted</v>
      </c>
      <c r="R483" t="str">
        <f t="shared" si="39"/>
        <v>Check Return Policy</v>
      </c>
    </row>
    <row r="484" spans="1:18" x14ac:dyDescent="0.25">
      <c r="A484" s="4">
        <v>1483</v>
      </c>
      <c r="B484" s="5" t="s">
        <v>494</v>
      </c>
      <c r="C484" s="5" t="s">
        <v>514</v>
      </c>
      <c r="D484" s="5" t="s">
        <v>530</v>
      </c>
      <c r="E484" s="5" t="s">
        <v>566</v>
      </c>
      <c r="F484" s="5" t="s">
        <v>576</v>
      </c>
      <c r="G484" s="4">
        <v>17</v>
      </c>
      <c r="H484" s="4">
        <v>430</v>
      </c>
      <c r="I484" s="4">
        <v>15</v>
      </c>
      <c r="J484" s="6">
        <v>45942</v>
      </c>
      <c r="K484" t="s">
        <v>580</v>
      </c>
      <c r="L484" s="5" t="s">
        <v>582</v>
      </c>
      <c r="M484" s="5" t="s">
        <v>586</v>
      </c>
      <c r="N484" s="7" t="str">
        <f t="shared" si="35"/>
        <v>2025</v>
      </c>
      <c r="O484" s="7" t="str">
        <f t="shared" si="36"/>
        <v>Oct</v>
      </c>
      <c r="P484" s="7" t="str">
        <f t="shared" si="37"/>
        <v>Sun</v>
      </c>
      <c r="Q484" t="str">
        <f t="shared" si="38"/>
        <v>Discounted</v>
      </c>
      <c r="R484" t="str">
        <f t="shared" si="39"/>
        <v>Check Return Policy</v>
      </c>
    </row>
    <row r="485" spans="1:18" x14ac:dyDescent="0.25">
      <c r="A485" s="4">
        <v>1484</v>
      </c>
      <c r="B485" s="5" t="s">
        <v>283</v>
      </c>
      <c r="C485" s="5" t="s">
        <v>512</v>
      </c>
      <c r="D485" s="5" t="s">
        <v>523</v>
      </c>
      <c r="E485" s="5" t="s">
        <v>568</v>
      </c>
      <c r="F485" s="5" t="s">
        <v>577</v>
      </c>
      <c r="G485" s="4">
        <v>13</v>
      </c>
      <c r="H485" s="4">
        <v>244</v>
      </c>
      <c r="I485" s="4">
        <v>0</v>
      </c>
      <c r="J485" s="6">
        <v>45793</v>
      </c>
      <c r="K485" t="s">
        <v>580</v>
      </c>
      <c r="L485" s="5" t="s">
        <v>583</v>
      </c>
      <c r="M485" s="5" t="s">
        <v>586</v>
      </c>
      <c r="N485" s="7" t="str">
        <f t="shared" si="35"/>
        <v>2025</v>
      </c>
      <c r="O485" s="7" t="str">
        <f t="shared" si="36"/>
        <v>May</v>
      </c>
      <c r="P485" s="7" t="str">
        <f t="shared" si="37"/>
        <v>Fri</v>
      </c>
      <c r="Q485" t="str">
        <f t="shared" si="38"/>
        <v>Full Price</v>
      </c>
      <c r="R485" t="str">
        <f t="shared" si="39"/>
        <v>Check Return Policy</v>
      </c>
    </row>
    <row r="486" spans="1:18" x14ac:dyDescent="0.25">
      <c r="A486" s="4">
        <v>1485</v>
      </c>
      <c r="B486" s="5" t="s">
        <v>495</v>
      </c>
      <c r="C486" s="5" t="s">
        <v>513</v>
      </c>
      <c r="D486" s="5" t="s">
        <v>542</v>
      </c>
      <c r="E486" s="5" t="s">
        <v>570</v>
      </c>
      <c r="F486" s="5" t="s">
        <v>575</v>
      </c>
      <c r="G486" s="4">
        <v>10</v>
      </c>
      <c r="H486" s="4">
        <v>5</v>
      </c>
      <c r="I486" s="4">
        <v>15</v>
      </c>
      <c r="J486" s="6">
        <v>45885</v>
      </c>
      <c r="K486" t="s">
        <v>581</v>
      </c>
      <c r="L486" s="5" t="s">
        <v>583</v>
      </c>
      <c r="M486" s="5" t="s">
        <v>586</v>
      </c>
      <c r="N486" s="7" t="str">
        <f t="shared" si="35"/>
        <v>2025</v>
      </c>
      <c r="O486" s="7" t="str">
        <f t="shared" si="36"/>
        <v>Aug</v>
      </c>
      <c r="P486" s="7" t="str">
        <f t="shared" si="37"/>
        <v>Sat</v>
      </c>
      <c r="Q486" t="str">
        <f t="shared" si="38"/>
        <v>Discounted</v>
      </c>
      <c r="R486" t="str">
        <f t="shared" si="39"/>
        <v>Check Return Policy</v>
      </c>
    </row>
    <row r="487" spans="1:18" x14ac:dyDescent="0.25">
      <c r="A487" s="4">
        <v>1486</v>
      </c>
      <c r="B487" s="5" t="s">
        <v>496</v>
      </c>
      <c r="C487" s="5" t="s">
        <v>511</v>
      </c>
      <c r="D487" s="5" t="s">
        <v>515</v>
      </c>
      <c r="E487" s="5" t="s">
        <v>573</v>
      </c>
      <c r="F487" s="5" t="s">
        <v>576</v>
      </c>
      <c r="G487" s="4">
        <v>6</v>
      </c>
      <c r="H487" s="4">
        <v>261</v>
      </c>
      <c r="I487" s="4">
        <v>5</v>
      </c>
      <c r="J487" s="6">
        <v>45726</v>
      </c>
      <c r="K487" t="s">
        <v>579</v>
      </c>
      <c r="L487" s="5" t="s">
        <v>583</v>
      </c>
      <c r="M487" s="5" t="s">
        <v>586</v>
      </c>
      <c r="N487" s="7" t="str">
        <f t="shared" si="35"/>
        <v>2025</v>
      </c>
      <c r="O487" s="7" t="str">
        <f t="shared" si="36"/>
        <v>Mar</v>
      </c>
      <c r="P487" s="7" t="str">
        <f t="shared" si="37"/>
        <v>Mon</v>
      </c>
      <c r="Q487" t="str">
        <f t="shared" si="38"/>
        <v>Discounted</v>
      </c>
      <c r="R487" t="str">
        <f t="shared" si="39"/>
        <v>Check Return Policy</v>
      </c>
    </row>
    <row r="488" spans="1:18" x14ac:dyDescent="0.25">
      <c r="A488" s="4">
        <v>1487</v>
      </c>
      <c r="B488" s="5" t="s">
        <v>497</v>
      </c>
      <c r="C488" s="5" t="s">
        <v>514</v>
      </c>
      <c r="D488" s="5" t="s">
        <v>528</v>
      </c>
      <c r="E488" s="5" t="s">
        <v>572</v>
      </c>
      <c r="F488" s="5" t="s">
        <v>577</v>
      </c>
      <c r="G488" s="4">
        <v>4</v>
      </c>
      <c r="H488" s="4">
        <v>265</v>
      </c>
      <c r="I488" s="4">
        <v>5</v>
      </c>
      <c r="J488" s="6">
        <v>45854</v>
      </c>
      <c r="K488" t="s">
        <v>580</v>
      </c>
      <c r="L488" s="5" t="s">
        <v>583</v>
      </c>
      <c r="M488" s="5" t="s">
        <v>586</v>
      </c>
      <c r="N488" s="7" t="str">
        <f t="shared" si="35"/>
        <v>2025</v>
      </c>
      <c r="O488" s="7" t="str">
        <f t="shared" si="36"/>
        <v>Jul</v>
      </c>
      <c r="P488" s="7" t="str">
        <f t="shared" si="37"/>
        <v>Wed</v>
      </c>
      <c r="Q488" t="str">
        <f t="shared" si="38"/>
        <v>Discounted</v>
      </c>
      <c r="R488" t="str">
        <f t="shared" si="39"/>
        <v>Check Return Policy</v>
      </c>
    </row>
    <row r="489" spans="1:18" x14ac:dyDescent="0.25">
      <c r="A489" s="4">
        <v>1488</v>
      </c>
      <c r="B489" s="5" t="s">
        <v>498</v>
      </c>
      <c r="C489" s="5" t="s">
        <v>511</v>
      </c>
      <c r="D489" s="5" t="s">
        <v>518</v>
      </c>
      <c r="E489" s="5" t="s">
        <v>567</v>
      </c>
      <c r="F489" s="5" t="s">
        <v>576</v>
      </c>
      <c r="G489" s="4">
        <v>3</v>
      </c>
      <c r="H489" s="4">
        <v>1393</v>
      </c>
      <c r="I489" s="4">
        <v>0</v>
      </c>
      <c r="J489" s="6">
        <v>45819</v>
      </c>
      <c r="K489" t="s">
        <v>580</v>
      </c>
      <c r="L489" s="5" t="s">
        <v>583</v>
      </c>
      <c r="M489" s="5" t="s">
        <v>586</v>
      </c>
      <c r="N489" s="7" t="str">
        <f t="shared" si="35"/>
        <v>2025</v>
      </c>
      <c r="O489" s="7" t="str">
        <f t="shared" si="36"/>
        <v>Jun</v>
      </c>
      <c r="P489" s="7" t="str">
        <f t="shared" si="37"/>
        <v>Wed</v>
      </c>
      <c r="Q489" t="str">
        <f t="shared" si="38"/>
        <v>Full Price</v>
      </c>
      <c r="R489" t="str">
        <f t="shared" si="39"/>
        <v>Check Return Policy</v>
      </c>
    </row>
    <row r="490" spans="1:18" x14ac:dyDescent="0.25">
      <c r="A490" s="4">
        <v>1489</v>
      </c>
      <c r="B490" s="5" t="s">
        <v>499</v>
      </c>
      <c r="C490" s="5" t="s">
        <v>514</v>
      </c>
      <c r="D490" s="5" t="s">
        <v>539</v>
      </c>
      <c r="E490" s="5" t="s">
        <v>568</v>
      </c>
      <c r="F490" s="5" t="s">
        <v>577</v>
      </c>
      <c r="G490" s="4">
        <v>14</v>
      </c>
      <c r="H490" s="4">
        <v>269</v>
      </c>
      <c r="I490" s="4">
        <v>10</v>
      </c>
      <c r="J490" s="6">
        <v>45732</v>
      </c>
      <c r="K490" t="s">
        <v>579</v>
      </c>
      <c r="L490" s="5" t="s">
        <v>584</v>
      </c>
      <c r="M490" s="5" t="s">
        <v>586</v>
      </c>
      <c r="N490" s="7" t="str">
        <f t="shared" si="35"/>
        <v>2025</v>
      </c>
      <c r="O490" s="7" t="str">
        <f t="shared" si="36"/>
        <v>Mar</v>
      </c>
      <c r="P490" s="7" t="str">
        <f t="shared" si="37"/>
        <v>Sun</v>
      </c>
      <c r="Q490" t="str">
        <f t="shared" si="38"/>
        <v>Discounted</v>
      </c>
      <c r="R490" t="str">
        <f t="shared" si="39"/>
        <v>Check Return Policy</v>
      </c>
    </row>
    <row r="491" spans="1:18" x14ac:dyDescent="0.25">
      <c r="A491" s="4">
        <v>1490</v>
      </c>
      <c r="B491" s="5" t="s">
        <v>500</v>
      </c>
      <c r="C491" s="5" t="s">
        <v>512</v>
      </c>
      <c r="D491" s="5" t="s">
        <v>558</v>
      </c>
      <c r="E491" s="5" t="s">
        <v>571</v>
      </c>
      <c r="F491" s="5" t="s">
        <v>577</v>
      </c>
      <c r="G491" s="4">
        <v>3</v>
      </c>
      <c r="H491" s="4">
        <v>230</v>
      </c>
      <c r="I491" s="4">
        <v>5</v>
      </c>
      <c r="J491" s="6">
        <v>45789</v>
      </c>
      <c r="K491" t="s">
        <v>579</v>
      </c>
      <c r="L491" s="5" t="s">
        <v>583</v>
      </c>
      <c r="M491" s="5" t="s">
        <v>586</v>
      </c>
      <c r="N491" s="7" t="str">
        <f t="shared" si="35"/>
        <v>2025</v>
      </c>
      <c r="O491" s="7" t="str">
        <f t="shared" si="36"/>
        <v>May</v>
      </c>
      <c r="P491" s="7" t="str">
        <f t="shared" si="37"/>
        <v>Mon</v>
      </c>
      <c r="Q491" t="str">
        <f t="shared" si="38"/>
        <v>Discounted</v>
      </c>
      <c r="R491" t="str">
        <f t="shared" si="39"/>
        <v>Check Return Policy</v>
      </c>
    </row>
    <row r="492" spans="1:18" x14ac:dyDescent="0.25">
      <c r="A492" s="4">
        <v>1491</v>
      </c>
      <c r="B492" s="5" t="s">
        <v>501</v>
      </c>
      <c r="C492" s="5" t="s">
        <v>511</v>
      </c>
      <c r="D492" s="5" t="s">
        <v>515</v>
      </c>
      <c r="E492" s="5" t="s">
        <v>574</v>
      </c>
      <c r="F492" s="5" t="s">
        <v>576</v>
      </c>
      <c r="G492" s="4">
        <v>14</v>
      </c>
      <c r="H492" s="4">
        <v>76</v>
      </c>
      <c r="I492" s="4">
        <v>5</v>
      </c>
      <c r="J492" s="6">
        <v>45952</v>
      </c>
      <c r="K492" t="s">
        <v>578</v>
      </c>
      <c r="L492" s="5" t="s">
        <v>582</v>
      </c>
      <c r="M492" s="5" t="s">
        <v>585</v>
      </c>
      <c r="N492" s="7" t="str">
        <f t="shared" si="35"/>
        <v>2025</v>
      </c>
      <c r="O492" s="7" t="str">
        <f t="shared" si="36"/>
        <v>Oct</v>
      </c>
      <c r="P492" s="7" t="str">
        <f t="shared" si="37"/>
        <v>Wed</v>
      </c>
      <c r="Q492" t="str">
        <f t="shared" si="38"/>
        <v>Discounted</v>
      </c>
      <c r="R492" t="str">
        <f t="shared" si="39"/>
        <v>No Action</v>
      </c>
    </row>
    <row r="493" spans="1:18" x14ac:dyDescent="0.25">
      <c r="A493" s="4">
        <v>1492</v>
      </c>
      <c r="B493" s="5" t="s">
        <v>502</v>
      </c>
      <c r="C493" s="5" t="s">
        <v>514</v>
      </c>
      <c r="D493" s="5" t="s">
        <v>528</v>
      </c>
      <c r="E493" s="5" t="s">
        <v>570</v>
      </c>
      <c r="F493" s="5" t="s">
        <v>575</v>
      </c>
      <c r="G493" s="4">
        <v>2</v>
      </c>
      <c r="H493" s="4">
        <v>3</v>
      </c>
      <c r="I493" s="4">
        <v>5</v>
      </c>
      <c r="J493" s="6">
        <v>45670</v>
      </c>
      <c r="K493" t="s">
        <v>578</v>
      </c>
      <c r="L493" s="5" t="s">
        <v>584</v>
      </c>
      <c r="M493" s="5" t="s">
        <v>585</v>
      </c>
      <c r="N493" s="7" t="str">
        <f t="shared" si="35"/>
        <v>2025</v>
      </c>
      <c r="O493" s="7" t="str">
        <f t="shared" si="36"/>
        <v>Jan</v>
      </c>
      <c r="P493" s="7" t="str">
        <f t="shared" si="37"/>
        <v>Mon</v>
      </c>
      <c r="Q493" t="str">
        <f t="shared" si="38"/>
        <v>Discounted</v>
      </c>
      <c r="R493" t="str">
        <f t="shared" si="39"/>
        <v>No Action</v>
      </c>
    </row>
    <row r="494" spans="1:18" x14ac:dyDescent="0.25">
      <c r="A494" s="4">
        <v>1493</v>
      </c>
      <c r="B494" s="5" t="s">
        <v>503</v>
      </c>
      <c r="C494" s="5" t="s">
        <v>514</v>
      </c>
      <c r="D494" s="5" t="s">
        <v>527</v>
      </c>
      <c r="E494" s="5" t="s">
        <v>574</v>
      </c>
      <c r="F494" s="5" t="s">
        <v>576</v>
      </c>
      <c r="G494" s="4">
        <v>13</v>
      </c>
      <c r="H494" s="4">
        <v>131</v>
      </c>
      <c r="I494" s="4">
        <v>0</v>
      </c>
      <c r="J494" s="6">
        <v>45715</v>
      </c>
      <c r="K494" t="s">
        <v>579</v>
      </c>
      <c r="L494" s="5" t="s">
        <v>584</v>
      </c>
      <c r="M494" s="5" t="s">
        <v>586</v>
      </c>
      <c r="N494" s="7" t="str">
        <f t="shared" si="35"/>
        <v>2025</v>
      </c>
      <c r="O494" s="7" t="str">
        <f t="shared" si="36"/>
        <v>Feb</v>
      </c>
      <c r="P494" s="7" t="str">
        <f t="shared" si="37"/>
        <v>Thu</v>
      </c>
      <c r="Q494" t="str">
        <f t="shared" si="38"/>
        <v>Full Price</v>
      </c>
      <c r="R494" t="str">
        <f t="shared" si="39"/>
        <v>Check Return Policy</v>
      </c>
    </row>
    <row r="495" spans="1:18" x14ac:dyDescent="0.25">
      <c r="A495" s="4">
        <v>1494</v>
      </c>
      <c r="B495" s="5" t="s">
        <v>504</v>
      </c>
      <c r="C495" s="5" t="s">
        <v>512</v>
      </c>
      <c r="D495" s="5" t="s">
        <v>516</v>
      </c>
      <c r="E495" s="5" t="s">
        <v>571</v>
      </c>
      <c r="F495" s="5" t="s">
        <v>577</v>
      </c>
      <c r="G495" s="4">
        <v>5</v>
      </c>
      <c r="H495" s="4">
        <v>65</v>
      </c>
      <c r="I495" s="4">
        <v>15</v>
      </c>
      <c r="J495" s="6">
        <v>45967</v>
      </c>
      <c r="K495" t="s">
        <v>581</v>
      </c>
      <c r="L495" s="5" t="s">
        <v>584</v>
      </c>
      <c r="M495" s="5" t="s">
        <v>585</v>
      </c>
      <c r="N495" s="7" t="str">
        <f t="shared" si="35"/>
        <v>2025</v>
      </c>
      <c r="O495" s="7" t="str">
        <f t="shared" si="36"/>
        <v>Nov</v>
      </c>
      <c r="P495" s="7" t="str">
        <f t="shared" si="37"/>
        <v>Thu</v>
      </c>
      <c r="Q495" t="str">
        <f t="shared" si="38"/>
        <v>Discounted</v>
      </c>
      <c r="R495" t="str">
        <f t="shared" si="39"/>
        <v>No Action</v>
      </c>
    </row>
    <row r="496" spans="1:18" x14ac:dyDescent="0.25">
      <c r="A496" s="4">
        <v>1495</v>
      </c>
      <c r="B496" s="5" t="s">
        <v>505</v>
      </c>
      <c r="C496" s="5" t="s">
        <v>512</v>
      </c>
      <c r="D496" s="5" t="s">
        <v>525</v>
      </c>
      <c r="E496" s="5" t="s">
        <v>566</v>
      </c>
      <c r="F496" s="5" t="s">
        <v>576</v>
      </c>
      <c r="G496" s="4">
        <v>5</v>
      </c>
      <c r="H496" s="4">
        <v>226</v>
      </c>
      <c r="I496" s="4">
        <v>5</v>
      </c>
      <c r="J496" s="6">
        <v>46010</v>
      </c>
      <c r="K496" t="s">
        <v>581</v>
      </c>
      <c r="L496" s="5" t="s">
        <v>582</v>
      </c>
      <c r="M496" s="5" t="s">
        <v>586</v>
      </c>
      <c r="N496" s="7" t="str">
        <f t="shared" si="35"/>
        <v>2025</v>
      </c>
      <c r="O496" s="7" t="str">
        <f t="shared" si="36"/>
        <v>Dec</v>
      </c>
      <c r="P496" s="7" t="str">
        <f t="shared" si="37"/>
        <v>Fri</v>
      </c>
      <c r="Q496" t="str">
        <f t="shared" si="38"/>
        <v>Discounted</v>
      </c>
      <c r="R496" t="str">
        <f t="shared" si="39"/>
        <v>Check Return Policy</v>
      </c>
    </row>
    <row r="497" spans="1:18" x14ac:dyDescent="0.25">
      <c r="A497" s="4">
        <v>1496</v>
      </c>
      <c r="B497" s="5" t="s">
        <v>506</v>
      </c>
      <c r="C497" s="5" t="s">
        <v>511</v>
      </c>
      <c r="D497" s="5" t="s">
        <v>557</v>
      </c>
      <c r="E497" s="5" t="s">
        <v>572</v>
      </c>
      <c r="F497" s="5" t="s">
        <v>577</v>
      </c>
      <c r="G497" s="4">
        <v>2</v>
      </c>
      <c r="H497" s="4">
        <v>254</v>
      </c>
      <c r="I497" s="4">
        <v>15</v>
      </c>
      <c r="J497" s="6">
        <v>45899</v>
      </c>
      <c r="K497" t="s">
        <v>581</v>
      </c>
      <c r="L497" s="5" t="s">
        <v>584</v>
      </c>
      <c r="M497" s="5" t="s">
        <v>586</v>
      </c>
      <c r="N497" s="7" t="str">
        <f t="shared" si="35"/>
        <v>2025</v>
      </c>
      <c r="O497" s="7" t="str">
        <f t="shared" si="36"/>
        <v>Aug</v>
      </c>
      <c r="P497" s="7" t="str">
        <f t="shared" si="37"/>
        <v>Sat</v>
      </c>
      <c r="Q497" t="str">
        <f t="shared" si="38"/>
        <v>Discounted</v>
      </c>
      <c r="R497" t="str">
        <f t="shared" si="39"/>
        <v>Check Return Policy</v>
      </c>
    </row>
    <row r="498" spans="1:18" x14ac:dyDescent="0.25">
      <c r="A498" s="4">
        <v>1497</v>
      </c>
      <c r="B498" s="5" t="s">
        <v>507</v>
      </c>
      <c r="C498" s="5" t="s">
        <v>514</v>
      </c>
      <c r="D498" s="5" t="s">
        <v>561</v>
      </c>
      <c r="E498" s="5" t="s">
        <v>570</v>
      </c>
      <c r="F498" s="5" t="s">
        <v>575</v>
      </c>
      <c r="G498" s="4">
        <v>6</v>
      </c>
      <c r="H498" s="4">
        <v>12</v>
      </c>
      <c r="I498" s="4">
        <v>5</v>
      </c>
      <c r="J498" s="6">
        <v>45695</v>
      </c>
      <c r="K498" t="s">
        <v>581</v>
      </c>
      <c r="L498" s="5" t="s">
        <v>584</v>
      </c>
      <c r="M498" s="5" t="s">
        <v>586</v>
      </c>
      <c r="N498" s="7" t="str">
        <f t="shared" si="35"/>
        <v>2025</v>
      </c>
      <c r="O498" s="7" t="str">
        <f t="shared" si="36"/>
        <v>Feb</v>
      </c>
      <c r="P498" s="7" t="str">
        <f t="shared" si="37"/>
        <v>Fri</v>
      </c>
      <c r="Q498" t="str">
        <f t="shared" si="38"/>
        <v>Discounted</v>
      </c>
      <c r="R498" t="str">
        <f t="shared" si="39"/>
        <v>Check Return Policy</v>
      </c>
    </row>
    <row r="499" spans="1:18" x14ac:dyDescent="0.25">
      <c r="A499" s="4">
        <v>1498</v>
      </c>
      <c r="B499" s="5" t="s">
        <v>508</v>
      </c>
      <c r="C499" s="5" t="s">
        <v>512</v>
      </c>
      <c r="D499" s="5" t="s">
        <v>556</v>
      </c>
      <c r="E499" s="5" t="s">
        <v>565</v>
      </c>
      <c r="F499" s="5" t="s">
        <v>575</v>
      </c>
      <c r="G499" s="4">
        <v>13</v>
      </c>
      <c r="H499" s="4">
        <v>9</v>
      </c>
      <c r="I499" s="4">
        <v>5</v>
      </c>
      <c r="J499" s="6">
        <v>45703</v>
      </c>
      <c r="K499" t="s">
        <v>579</v>
      </c>
      <c r="L499" s="5" t="s">
        <v>582</v>
      </c>
      <c r="M499" s="5" t="s">
        <v>586</v>
      </c>
      <c r="N499" s="7" t="str">
        <f t="shared" si="35"/>
        <v>2025</v>
      </c>
      <c r="O499" s="7" t="str">
        <f t="shared" si="36"/>
        <v>Feb</v>
      </c>
      <c r="P499" s="7" t="str">
        <f t="shared" si="37"/>
        <v>Sat</v>
      </c>
      <c r="Q499" t="str">
        <f t="shared" si="38"/>
        <v>Discounted</v>
      </c>
      <c r="R499" t="str">
        <f t="shared" si="39"/>
        <v>Check Return Policy</v>
      </c>
    </row>
    <row r="500" spans="1:18" x14ac:dyDescent="0.25">
      <c r="A500" s="4">
        <v>1499</v>
      </c>
      <c r="B500" s="5" t="s">
        <v>509</v>
      </c>
      <c r="C500" s="5" t="s">
        <v>512</v>
      </c>
      <c r="D500" s="5" t="s">
        <v>546</v>
      </c>
      <c r="E500" s="5" t="s">
        <v>574</v>
      </c>
      <c r="F500" s="5" t="s">
        <v>576</v>
      </c>
      <c r="G500" s="4">
        <v>11</v>
      </c>
      <c r="H500" s="4">
        <v>25</v>
      </c>
      <c r="I500" s="4">
        <v>10</v>
      </c>
      <c r="J500" s="6">
        <v>45695</v>
      </c>
      <c r="K500" t="s">
        <v>579</v>
      </c>
      <c r="L500" s="5" t="s">
        <v>583</v>
      </c>
      <c r="M500" s="5" t="s">
        <v>586</v>
      </c>
      <c r="N500" s="7" t="str">
        <f t="shared" si="35"/>
        <v>2025</v>
      </c>
      <c r="O500" s="7" t="str">
        <f t="shared" si="36"/>
        <v>Feb</v>
      </c>
      <c r="P500" s="7" t="str">
        <f t="shared" si="37"/>
        <v>Fri</v>
      </c>
      <c r="Q500" t="str">
        <f t="shared" si="38"/>
        <v>Discounted</v>
      </c>
      <c r="R500" t="str">
        <f t="shared" si="39"/>
        <v>Check Return Policy</v>
      </c>
    </row>
    <row r="501" spans="1:18" x14ac:dyDescent="0.25">
      <c r="A501" s="4">
        <v>1500</v>
      </c>
      <c r="B501" s="5" t="s">
        <v>510</v>
      </c>
      <c r="C501" s="5" t="s">
        <v>512</v>
      </c>
      <c r="D501" s="5" t="s">
        <v>524</v>
      </c>
      <c r="E501" s="5" t="s">
        <v>568</v>
      </c>
      <c r="F501" s="5" t="s">
        <v>577</v>
      </c>
      <c r="G501" s="4">
        <v>19</v>
      </c>
      <c r="H501" s="4">
        <v>353</v>
      </c>
      <c r="I501" s="4">
        <v>0</v>
      </c>
      <c r="J501" s="6">
        <v>45713</v>
      </c>
      <c r="K501" t="s">
        <v>580</v>
      </c>
      <c r="L501" s="5" t="s">
        <v>584</v>
      </c>
      <c r="M501" s="5" t="s">
        <v>586</v>
      </c>
      <c r="N501" s="7" t="str">
        <f t="shared" si="35"/>
        <v>2025</v>
      </c>
      <c r="O501" s="7" t="str">
        <f t="shared" si="36"/>
        <v>Feb</v>
      </c>
      <c r="P501" s="7" t="str">
        <f t="shared" si="37"/>
        <v>Tue</v>
      </c>
      <c r="Q501" t="str">
        <f t="shared" si="38"/>
        <v>Full Price</v>
      </c>
      <c r="R501" t="str">
        <f t="shared" si="39"/>
        <v>Check Return Policy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78E5F-59EE-4442-8925-06A1994A6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Default_sheet</vt:lpstr>
      <vt:lpstr>Default Table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 Rahman Kassim</cp:lastModifiedBy>
  <dcterms:created xsi:type="dcterms:W3CDTF">2025-12-29T13:55:44Z</dcterms:created>
  <dcterms:modified xsi:type="dcterms:W3CDTF">2025-12-29T15:19:24Z</dcterms:modified>
</cp:coreProperties>
</file>